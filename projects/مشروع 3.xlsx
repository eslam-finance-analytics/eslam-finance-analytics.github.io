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New folder\"/>
    </mc:Choice>
  </mc:AlternateContent>
  <xr:revisionPtr revIDLastSave="0" documentId="13_ncr:1_{DC151206-99E1-4B9E-A627-7FF975771B25}" xr6:coauthVersionLast="47" xr6:coauthVersionMax="47" xr10:uidLastSave="{00000000-0000-0000-0000-000000000000}"/>
  <bookViews>
    <workbookView xWindow="-108" yWindow="-108" windowWidth="23256" windowHeight="12456" firstSheet="3" activeTab="8" xr2:uid="{7560BCD3-4BBC-441F-8DBA-D9BF7D8A0DB3}"/>
  </bookViews>
  <sheets>
    <sheet name="Data1" sheetId="3" r:id="rId1"/>
    <sheet name="Data2" sheetId="1" r:id="rId2"/>
    <sheet name="Net Sales by Region &amp; Channel" sheetId="2" r:id="rId3"/>
    <sheet name="Profit by Category" sheetId="4" r:id="rId4"/>
    <sheet name="Salesperson Net Sales" sheetId="5" r:id="rId5"/>
    <sheet name="Monthly Net Sales" sheetId="6" r:id="rId6"/>
    <sheet name="Sales Band Distribution" sheetId="7" r:id="rId7"/>
    <sheet name="KPI" sheetId="8" r:id="rId8"/>
    <sheet name="Dashbord" sheetId="10" r:id="rId9"/>
  </sheets>
  <definedNames>
    <definedName name="Slicer_Category">#N/A</definedName>
    <definedName name="Slicer_Channel">#N/A</definedName>
    <definedName name="Slicer_Region">#N/A</definedName>
    <definedName name="Slicer_Salesperson">#N/A</definedName>
  </definedNames>
  <calcPr calcId="191029"/>
  <pivotCaches>
    <pivotCache cacheId="16"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1" l="1"/>
  <c r="S4" i="1"/>
  <c r="S5" i="1"/>
  <c r="S6" i="1"/>
  <c r="S7" i="1"/>
  <c r="S8" i="1"/>
  <c r="S9" i="1"/>
  <c r="S10" i="1"/>
  <c r="S11" i="1"/>
  <c r="S12" i="1"/>
  <c r="S13" i="1"/>
  <c r="S2" i="1"/>
  <c r="R3" i="1"/>
  <c r="R4" i="1"/>
  <c r="R5" i="1"/>
  <c r="R6" i="1"/>
  <c r="R7" i="1"/>
  <c r="R8" i="1"/>
  <c r="R9" i="1"/>
  <c r="R10" i="1"/>
  <c r="R11" i="1"/>
  <c r="R12" i="1"/>
  <c r="R13" i="1"/>
  <c r="R2" i="1"/>
  <c r="Q3" i="1"/>
  <c r="Q4" i="1"/>
  <c r="Q5" i="1"/>
  <c r="Q6" i="1"/>
  <c r="Q7" i="1"/>
  <c r="Q8" i="1"/>
  <c r="Q9" i="1"/>
  <c r="Q10" i="1"/>
  <c r="Q11" i="1"/>
  <c r="Q12" i="1"/>
  <c r="Q13" i="1"/>
  <c r="Q2" i="1"/>
  <c r="P3" i="1"/>
  <c r="P4" i="1"/>
  <c r="P5" i="1"/>
  <c r="P6" i="1"/>
  <c r="P7" i="1"/>
  <c r="P8" i="1"/>
  <c r="P9" i="1"/>
  <c r="P10" i="1"/>
  <c r="P11" i="1"/>
  <c r="P12" i="1"/>
  <c r="P13" i="1"/>
  <c r="P2" i="1"/>
  <c r="O3" i="1"/>
  <c r="O4" i="1"/>
  <c r="O5" i="1"/>
  <c r="O6" i="1"/>
  <c r="O7" i="1"/>
  <c r="O8" i="1"/>
  <c r="O9" i="1"/>
  <c r="O10" i="1"/>
  <c r="O11" i="1"/>
  <c r="O12" i="1"/>
  <c r="O13" i="1"/>
  <c r="O2" i="1"/>
  <c r="N3" i="1"/>
  <c r="N4" i="1"/>
  <c r="N5" i="1"/>
  <c r="N6" i="1"/>
  <c r="N7" i="1"/>
  <c r="N8" i="1"/>
  <c r="N9" i="1"/>
  <c r="N10" i="1"/>
  <c r="N11" i="1"/>
  <c r="N12" i="1"/>
  <c r="N13" i="1"/>
  <c r="N2" i="1"/>
  <c r="M3" i="1"/>
  <c r="M4" i="1"/>
  <c r="M5" i="1"/>
  <c r="M6" i="1"/>
  <c r="M7" i="1"/>
  <c r="M8" i="1"/>
  <c r="M9" i="1"/>
  <c r="M10" i="1"/>
  <c r="M11" i="1"/>
  <c r="M12" i="1"/>
  <c r="M13" i="1"/>
  <c r="M2" i="1"/>
  <c r="G7" i="8"/>
  <c r="G6" i="8"/>
  <c r="G5" i="8"/>
</calcChain>
</file>

<file path=xl/sharedStrings.xml><?xml version="1.0" encoding="utf-8"?>
<sst xmlns="http://schemas.openxmlformats.org/spreadsheetml/2006/main" count="259" uniqueCount="73">
  <si>
    <t>OrderID</t>
  </si>
  <si>
    <t>OrderDate</t>
  </si>
  <si>
    <t>Region</t>
  </si>
  <si>
    <t>Country</t>
  </si>
  <si>
    <t>City</t>
  </si>
  <si>
    <t>Salesperson</t>
  </si>
  <si>
    <t>Channel</t>
  </si>
  <si>
    <t>Product</t>
  </si>
  <si>
    <t>Category</t>
  </si>
  <si>
    <t>UnitsSold</t>
  </si>
  <si>
    <t>UnitPrice</t>
  </si>
  <si>
    <t>Discount</t>
  </si>
  <si>
    <t>East</t>
  </si>
  <si>
    <t>Egypt</t>
  </si>
  <si>
    <t>Cairo</t>
  </si>
  <si>
    <t>Ahmed</t>
  </si>
  <si>
    <t>Online</t>
  </si>
  <si>
    <t>Laptop</t>
  </si>
  <si>
    <t>Electronics</t>
  </si>
  <si>
    <t>West</t>
  </si>
  <si>
    <t>Alex</t>
  </si>
  <si>
    <t>Sara</t>
  </si>
  <si>
    <t>Retail</t>
  </si>
  <si>
    <t>Mouse</t>
  </si>
  <si>
    <t>Accessories</t>
  </si>
  <si>
    <t>Mona</t>
  </si>
  <si>
    <t>Keyboard</t>
  </si>
  <si>
    <t>North</t>
  </si>
  <si>
    <t>KSA</t>
  </si>
  <si>
    <t>Riyadh</t>
  </si>
  <si>
    <t>Omar</t>
  </si>
  <si>
    <t>Distributor</t>
  </si>
  <si>
    <t>South</t>
  </si>
  <si>
    <t>UAE</t>
  </si>
  <si>
    <t>Dubai</t>
  </si>
  <si>
    <t>Lina</t>
  </si>
  <si>
    <t>Monitor</t>
  </si>
  <si>
    <t>Giza</t>
  </si>
  <si>
    <t>Jeddah</t>
  </si>
  <si>
    <t>Abu Dhabi</t>
  </si>
  <si>
    <t>Tanta</t>
  </si>
  <si>
    <t>Gross Sales</t>
  </si>
  <si>
    <t>Discount Amount</t>
  </si>
  <si>
    <t>Net Sales</t>
  </si>
  <si>
    <t>Order Month</t>
  </si>
  <si>
    <t>Order Quarter</t>
  </si>
  <si>
    <t>Sales Band</t>
  </si>
  <si>
    <t>Profit (Assume fixed margin)</t>
  </si>
  <si>
    <t>Row Labels</t>
  </si>
  <si>
    <t>Grand Total</t>
  </si>
  <si>
    <t>Sum of Net Sales</t>
  </si>
  <si>
    <t>Column Labels</t>
  </si>
  <si>
    <t>Sum of Profit (Assume fixed margin)</t>
  </si>
  <si>
    <t>(All)</t>
  </si>
  <si>
    <t>January</t>
  </si>
  <si>
    <t>February</t>
  </si>
  <si>
    <t>March</t>
  </si>
  <si>
    <t>April</t>
  </si>
  <si>
    <t>May</t>
  </si>
  <si>
    <t>June</t>
  </si>
  <si>
    <t>July</t>
  </si>
  <si>
    <t>August</t>
  </si>
  <si>
    <t>September</t>
  </si>
  <si>
    <t>October</t>
  </si>
  <si>
    <t>November</t>
  </si>
  <si>
    <t>December</t>
  </si>
  <si>
    <t>High</t>
  </si>
  <si>
    <t>Low</t>
  </si>
  <si>
    <t>Medium</t>
  </si>
  <si>
    <t>Count of OrderID</t>
  </si>
  <si>
    <t>Total Net Sales</t>
  </si>
  <si>
    <t>Total Profit</t>
  </si>
  <si>
    <t xml:space="preserve"> 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</si>
</sst>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3" x14ac:knownFonts="1">
    <font>
      <sz val="11"/>
      <color theme="1"/>
      <name val="Calibri"/>
      <family val="2"/>
      <scheme val="minor"/>
    </font>
    <font>
      <sz val="11"/>
      <color theme="1"/>
      <name val="Times New Roman"/>
      <family val="1"/>
    </font>
    <font>
      <sz val="11"/>
      <color theme="1"/>
      <name val="Courier New"/>
      <family val="3"/>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9" fontId="0" fillId="0" borderId="0" xfId="0" applyNumberFormat="1"/>
    <xf numFmtId="0" fontId="0" fillId="0" borderId="0" xfId="0" applyAlignment="1">
      <alignment horizontal="center" vertical="center"/>
    </xf>
    <xf numFmtId="0" fontId="1" fillId="0" borderId="0" xfId="0" applyFont="1" applyAlignment="1">
      <alignment horizontal="center"/>
    </xf>
    <xf numFmtId="0" fontId="1" fillId="0" borderId="0" xfId="0" applyFont="1" applyAlignment="1">
      <alignment horizontal="center" vertical="center"/>
    </xf>
    <xf numFmtId="0" fontId="0" fillId="0" borderId="0" xfId="0" applyFont="1" applyAlignment="1">
      <alignment horizontal="center"/>
    </xf>
    <xf numFmtId="14" fontId="0" fillId="0" borderId="0" xfId="0" applyNumberFormat="1" applyFont="1" applyAlignment="1">
      <alignment horizontal="center"/>
    </xf>
    <xf numFmtId="9" fontId="0" fillId="0" borderId="0" xfId="0" applyNumberFormat="1" applyFont="1" applyAlignment="1">
      <alignment horizontal="center"/>
    </xf>
    <xf numFmtId="0" fontId="0" fillId="0" borderId="0" xfId="0" applyFont="1"/>
    <xf numFmtId="0" fontId="0" fillId="0" borderId="0" xfId="0" applyFont="1" applyAlignment="1">
      <alignment horizontal="center" vertical="center"/>
    </xf>
    <xf numFmtId="0" fontId="2"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68" fontId="0" fillId="0" borderId="0" xfId="0" applyNumberFormat="1"/>
  </cellXfs>
  <cellStyles count="1">
    <cellStyle name="Normal" xfId="0" builtinId="0"/>
  </cellStyles>
  <dxfs count="21">
    <dxf>
      <font>
        <strike val="0"/>
        <outline val="0"/>
        <shadow val="0"/>
        <u val="none"/>
        <vertAlign val="baseline"/>
        <sz val="11"/>
        <color theme="1"/>
        <family val="1"/>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strike val="0"/>
        <outline val="0"/>
        <shadow val="0"/>
        <u val="none"/>
        <vertAlign val="baseline"/>
        <sz val="11"/>
        <color theme="1"/>
      </font>
      <alignment horizontal="center" vertical="center" textRotation="0" wrapText="0" indent="0" justifyLastLine="0" shrinkToFit="0" readingOrder="0"/>
    </dxf>
    <dxf>
      <font>
        <strike val="0"/>
        <outline val="0"/>
        <shadow val="0"/>
        <u val="none"/>
        <vertAlign val="baseline"/>
        <sz val="11"/>
        <color theme="1"/>
      </font>
      <alignment horizontal="center" vertical="center" textRotation="0" wrapText="0" indent="0" justifyLastLine="0" shrinkToFit="0" readingOrder="0"/>
    </dxf>
    <dxf>
      <font>
        <b val="0"/>
        <i val="0"/>
        <strike val="0"/>
        <condense val="0"/>
        <extend val="0"/>
        <outline val="0"/>
        <shadow val="0"/>
        <u val="none"/>
        <vertAlign val="baseline"/>
        <sz val="11"/>
        <color theme="1"/>
        <name val="Courier New"/>
        <family val="3"/>
        <scheme val="none"/>
      </font>
      <alignment horizontal="center" vertical="center" textRotation="0" wrapText="0" indent="0" justifyLastLine="0" shrinkToFit="0" readingOrder="0"/>
    </dxf>
    <dxf>
      <font>
        <strike val="0"/>
        <outline val="0"/>
        <shadow val="0"/>
        <u val="none"/>
        <vertAlign val="baseline"/>
        <sz val="11"/>
        <color theme="1"/>
      </font>
      <alignment horizontal="center" vertical="center" textRotation="0" wrapText="0" indent="0" justifyLastLine="0" shrinkToFit="0" readingOrder="0"/>
    </dxf>
    <dxf>
      <font>
        <strike val="0"/>
        <outline val="0"/>
        <shadow val="0"/>
        <u val="none"/>
        <vertAlign val="baseline"/>
        <sz val="11"/>
        <color theme="1"/>
      </font>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numFmt numFmtId="13" formatCode="0%"/>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
      <font>
        <strike val="0"/>
        <outline val="0"/>
        <shadow val="0"/>
        <u val="none"/>
        <vertAlign val="baseline"/>
        <sz val="11"/>
        <color theme="1"/>
      </font>
      <numFmt numFmtId="19" formatCode="m/d/yyyy"/>
      <alignment horizontal="center" vertical="bottom" textRotation="0" wrapText="0" indent="0" justifyLastLine="0" shrinkToFit="0" readingOrder="0"/>
    </dxf>
    <dxf>
      <font>
        <strike val="0"/>
        <outline val="0"/>
        <shadow val="0"/>
        <u val="none"/>
        <vertAlign val="baseline"/>
        <sz val="11"/>
        <color theme="1"/>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[Assignment_7.xlsx]Net Sales by Region &amp; Channel!PivotTable1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 Sales by Region &amp; Channel'!$B$3:$B$4</c:f>
              <c:strCache>
                <c:ptCount val="1"/>
                <c:pt idx="0">
                  <c:v>Distributor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Sales by Region &amp; Channel'!$A$5:$A$9</c:f>
              <c:strCache>
                <c:ptCount val="4"/>
                <c:pt idx="0">
                  <c:v>East</c:v>
                </c:pt>
                <c:pt idx="1">
                  <c:v>North</c:v>
                </c:pt>
                <c:pt idx="2">
                  <c:v>South</c:v>
                </c:pt>
                <c:pt idx="3">
                  <c:v>West</c:v>
                </c:pt>
              </c:strCache>
            </c:strRef>
          </c:cat>
          <c:val>
            <c:numRef>
              <c:f>'Net Sales by Region &amp; Channel'!$B$5:$B$9</c:f>
              <c:numCache>
                <c:formatCode>General</c:formatCode>
                <c:ptCount val="4"/>
                <c:pt idx="1">
                  <c:v>31858</c:v>
                </c:pt>
                <c:pt idx="2">
                  <c:v>35100</c:v>
                </c:pt>
              </c:numCache>
            </c:numRef>
          </c:val>
          <c:extLst>
            <c:ext xmlns:c16="http://schemas.microsoft.com/office/drawing/2014/chart" uri="{C3380CC4-5D6E-409C-BE32-E72D297353CC}">
              <c16:uniqueId val="{00000000-E203-40B8-AD41-36A0FD01D58B}"/>
            </c:ext>
          </c:extLst>
        </c:ser>
        <c:ser>
          <c:idx val="1"/>
          <c:order val="1"/>
          <c:tx>
            <c:strRef>
              <c:f>'Net Sales by Region &amp; Channel'!$C$3:$C$4</c:f>
              <c:strCache>
                <c:ptCount val="1"/>
                <c:pt idx="0">
                  <c:v>Online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Sales by Region &amp; Channel'!$A$5:$A$9</c:f>
              <c:strCache>
                <c:ptCount val="4"/>
                <c:pt idx="0">
                  <c:v>East</c:v>
                </c:pt>
                <c:pt idx="1">
                  <c:v>North</c:v>
                </c:pt>
                <c:pt idx="2">
                  <c:v>South</c:v>
                </c:pt>
                <c:pt idx="3">
                  <c:v>West</c:v>
                </c:pt>
              </c:strCache>
            </c:strRef>
          </c:cat>
          <c:val>
            <c:numRef>
              <c:f>'Net Sales by Region &amp; Channel'!$C$5:$C$9</c:f>
              <c:numCache>
                <c:formatCode>General</c:formatCode>
                <c:ptCount val="4"/>
                <c:pt idx="0">
                  <c:v>37742</c:v>
                </c:pt>
                <c:pt idx="2">
                  <c:v>3325</c:v>
                </c:pt>
                <c:pt idx="3">
                  <c:v>34532</c:v>
                </c:pt>
              </c:numCache>
            </c:numRef>
          </c:val>
          <c:extLst>
            <c:ext xmlns:c16="http://schemas.microsoft.com/office/drawing/2014/chart" uri="{C3380CC4-5D6E-409C-BE32-E72D297353CC}">
              <c16:uniqueId val="{00000001-E203-40B8-AD41-36A0FD01D58B}"/>
            </c:ext>
          </c:extLst>
        </c:ser>
        <c:ser>
          <c:idx val="2"/>
          <c:order val="2"/>
          <c:tx>
            <c:strRef>
              <c:f>'Net Sales by Region &amp; Channel'!$D$3:$D$4</c:f>
              <c:strCache>
                <c:ptCount val="1"/>
                <c:pt idx="0">
                  <c:v>Retail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Sales by Region &amp; Channel'!$A$5:$A$9</c:f>
              <c:strCache>
                <c:ptCount val="4"/>
                <c:pt idx="0">
                  <c:v>East</c:v>
                </c:pt>
                <c:pt idx="1">
                  <c:v>North</c:v>
                </c:pt>
                <c:pt idx="2">
                  <c:v>South</c:v>
                </c:pt>
                <c:pt idx="3">
                  <c:v>West</c:v>
                </c:pt>
              </c:strCache>
            </c:strRef>
          </c:cat>
          <c:val>
            <c:numRef>
              <c:f>'Net Sales by Region &amp; Channel'!$D$5:$D$9</c:f>
              <c:numCache>
                <c:formatCode>General</c:formatCode>
                <c:ptCount val="4"/>
                <c:pt idx="0">
                  <c:v>21460</c:v>
                </c:pt>
                <c:pt idx="2">
                  <c:v>17670</c:v>
                </c:pt>
                <c:pt idx="3">
                  <c:v>6804.8</c:v>
                </c:pt>
              </c:numCache>
            </c:numRef>
          </c:val>
          <c:extLst>
            <c:ext xmlns:c16="http://schemas.microsoft.com/office/drawing/2014/chart" uri="{C3380CC4-5D6E-409C-BE32-E72D297353CC}">
              <c16:uniqueId val="{00000002-E203-40B8-AD41-36A0FD01D58B}"/>
            </c:ext>
          </c:extLst>
        </c:ser>
        <c:dLbls>
          <c:dLblPos val="outEnd"/>
          <c:showLegendKey val="0"/>
          <c:showVal val="1"/>
          <c:showCatName val="0"/>
          <c:showSerName val="0"/>
          <c:showPercent val="0"/>
          <c:showBubbleSize val="0"/>
        </c:dLbls>
        <c:gapWidth val="219"/>
        <c:overlap val="-27"/>
        <c:axId val="502655096"/>
        <c:axId val="502655816"/>
      </c:barChart>
      <c:catAx>
        <c:axId val="502655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55816"/>
        <c:crosses val="autoZero"/>
        <c:auto val="1"/>
        <c:lblAlgn val="ctr"/>
        <c:lblOffset val="100"/>
        <c:noMultiLvlLbl val="0"/>
      </c:catAx>
      <c:valAx>
        <c:axId val="502655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55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[Assignment_7.xlsx]Profit by Category!PivotTable2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a:t>Profit by Category</a:t>
            </a:r>
          </a:p>
        </c:rich>
      </c:tx>
      <c:layout>
        <c:manualLayout>
          <c:xMode val="edge"/>
          <c:yMode val="edge"/>
          <c:x val="0.35627077865266837"/>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22222222222221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1944444444444446"/>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'Profit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03D-4123-945A-195E04BB87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3D-4123-945A-195E04BB8722}"/>
              </c:ext>
            </c:extLst>
          </c:dPt>
          <c:dLbls>
            <c:dLbl>
              <c:idx val="0"/>
              <c:layout>
                <c:manualLayout>
                  <c:x val="0.122222222222222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03D-4123-945A-195E04BB8722}"/>
                </c:ext>
              </c:extLst>
            </c:dLbl>
            <c:dLbl>
              <c:idx val="1"/>
              <c:layout>
                <c:manualLayout>
                  <c:x val="-0.11944444444444446"/>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03D-4123-945A-195E04BB872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by Category'!$A$4:$A$6</c:f>
              <c:strCache>
                <c:ptCount val="2"/>
                <c:pt idx="0">
                  <c:v>Accessories</c:v>
                </c:pt>
                <c:pt idx="1">
                  <c:v>Electronics</c:v>
                </c:pt>
              </c:strCache>
            </c:strRef>
          </c:cat>
          <c:val>
            <c:numRef>
              <c:f>'Profit by Category'!$B$4:$B$6</c:f>
              <c:numCache>
                <c:formatCode>General</c:formatCode>
                <c:ptCount val="2"/>
                <c:pt idx="0">
                  <c:v>5712.63</c:v>
                </c:pt>
                <c:pt idx="1">
                  <c:v>34434</c:v>
                </c:pt>
              </c:numCache>
            </c:numRef>
          </c:val>
          <c:extLst>
            <c:ext xmlns:c16="http://schemas.microsoft.com/office/drawing/2014/chart" uri="{C3380CC4-5D6E-409C-BE32-E72D297353CC}">
              <c16:uniqueId val="{00000000-103D-4123-945A-195E04BB872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[Assignment_7.xlsx]Salesperson Net Sales!PivotTable3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Net Sales'!$B$4</c:f>
              <c:strCache>
                <c:ptCount val="1"/>
                <c:pt idx="0">
                  <c:v>Sum of Net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Net Sales'!$A$5:$A$10</c:f>
              <c:strCache>
                <c:ptCount val="5"/>
                <c:pt idx="0">
                  <c:v>Ahmed</c:v>
                </c:pt>
                <c:pt idx="1">
                  <c:v>Lina</c:v>
                </c:pt>
                <c:pt idx="2">
                  <c:v>Mona</c:v>
                </c:pt>
                <c:pt idx="3">
                  <c:v>Omar</c:v>
                </c:pt>
                <c:pt idx="4">
                  <c:v>Sara</c:v>
                </c:pt>
              </c:strCache>
            </c:strRef>
          </c:cat>
          <c:val>
            <c:numRef>
              <c:f>'Salesperson Net Sales'!$B$5:$B$10</c:f>
              <c:numCache>
                <c:formatCode>General</c:formatCode>
                <c:ptCount val="5"/>
                <c:pt idx="0">
                  <c:v>38750</c:v>
                </c:pt>
                <c:pt idx="1">
                  <c:v>56095</c:v>
                </c:pt>
                <c:pt idx="2">
                  <c:v>20452</c:v>
                </c:pt>
                <c:pt idx="3">
                  <c:v>31858</c:v>
                </c:pt>
                <c:pt idx="4">
                  <c:v>41336.800000000003</c:v>
                </c:pt>
              </c:numCache>
            </c:numRef>
          </c:val>
          <c:extLst>
            <c:ext xmlns:c16="http://schemas.microsoft.com/office/drawing/2014/chart" uri="{C3380CC4-5D6E-409C-BE32-E72D297353CC}">
              <c16:uniqueId val="{00000000-5F90-461D-8218-98C41EE0E65A}"/>
            </c:ext>
          </c:extLst>
        </c:ser>
        <c:ser>
          <c:idx val="1"/>
          <c:order val="1"/>
          <c:tx>
            <c:strRef>
              <c:f>'Salesperson Net Sales'!$C$4</c:f>
              <c:strCache>
                <c:ptCount val="1"/>
                <c:pt idx="0">
                  <c:v>Sum of Profit (Assume fixed margin)</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Net Sales'!$A$5:$A$10</c:f>
              <c:strCache>
                <c:ptCount val="5"/>
                <c:pt idx="0">
                  <c:v>Ahmed</c:v>
                </c:pt>
                <c:pt idx="1">
                  <c:v>Lina</c:v>
                </c:pt>
                <c:pt idx="2">
                  <c:v>Mona</c:v>
                </c:pt>
                <c:pt idx="3">
                  <c:v>Omar</c:v>
                </c:pt>
                <c:pt idx="4">
                  <c:v>Sara</c:v>
                </c:pt>
              </c:strCache>
            </c:strRef>
          </c:cat>
          <c:val>
            <c:numRef>
              <c:f>'Salesperson Net Sales'!$C$5:$C$10</c:f>
              <c:numCache>
                <c:formatCode>General</c:formatCode>
                <c:ptCount val="5"/>
                <c:pt idx="0">
                  <c:v>8290</c:v>
                </c:pt>
                <c:pt idx="1">
                  <c:v>11717.75</c:v>
                </c:pt>
                <c:pt idx="2">
                  <c:v>4479.2</c:v>
                </c:pt>
                <c:pt idx="3">
                  <c:v>6371.6</c:v>
                </c:pt>
                <c:pt idx="4">
                  <c:v>9288.08</c:v>
                </c:pt>
              </c:numCache>
            </c:numRef>
          </c:val>
          <c:extLst>
            <c:ext xmlns:c16="http://schemas.microsoft.com/office/drawing/2014/chart" uri="{C3380CC4-5D6E-409C-BE32-E72D297353CC}">
              <c16:uniqueId val="{00000001-5F90-461D-8218-98C41EE0E65A}"/>
            </c:ext>
          </c:extLst>
        </c:ser>
        <c:dLbls>
          <c:dLblPos val="outEnd"/>
          <c:showLegendKey val="0"/>
          <c:showVal val="1"/>
          <c:showCatName val="0"/>
          <c:showSerName val="0"/>
          <c:showPercent val="0"/>
          <c:showBubbleSize val="0"/>
        </c:dLbls>
        <c:gapWidth val="182"/>
        <c:axId val="534654944"/>
        <c:axId val="534653144"/>
      </c:barChart>
      <c:catAx>
        <c:axId val="53465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4653144"/>
        <c:crosses val="autoZero"/>
        <c:auto val="1"/>
        <c:lblAlgn val="ctr"/>
        <c:lblOffset val="100"/>
        <c:noMultiLvlLbl val="0"/>
      </c:catAx>
      <c:valAx>
        <c:axId val="534653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465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[Assignment_7.xlsx]Monthly Net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Net Sales'!$B$3</c:f>
              <c:strCache>
                <c:ptCount val="1"/>
                <c:pt idx="0">
                  <c:v>Total</c:v>
                </c:pt>
              </c:strCache>
            </c:strRef>
          </c:tx>
          <c:spPr>
            <a:ln w="28575" cap="rnd">
              <a:solidFill>
                <a:schemeClr val="accent1"/>
              </a:solidFill>
              <a:round/>
            </a:ln>
            <a:effectLst/>
          </c:spPr>
          <c:marker>
            <c:symbol val="none"/>
          </c:marker>
          <c:cat>
            <c:strRef>
              <c:f>'Monthly Net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Net Sales'!$B$4:$B$16</c:f>
              <c:numCache>
                <c:formatCode>General</c:formatCode>
                <c:ptCount val="12"/>
                <c:pt idx="0">
                  <c:v>35150</c:v>
                </c:pt>
                <c:pt idx="1">
                  <c:v>3120</c:v>
                </c:pt>
                <c:pt idx="2">
                  <c:v>2592</c:v>
                </c:pt>
                <c:pt idx="3">
                  <c:v>19530</c:v>
                </c:pt>
                <c:pt idx="4">
                  <c:v>17670</c:v>
                </c:pt>
                <c:pt idx="5">
                  <c:v>34532</c:v>
                </c:pt>
                <c:pt idx="6">
                  <c:v>3600</c:v>
                </c:pt>
                <c:pt idx="7">
                  <c:v>12328</c:v>
                </c:pt>
                <c:pt idx="8">
                  <c:v>3325</c:v>
                </c:pt>
                <c:pt idx="9">
                  <c:v>17860</c:v>
                </c:pt>
                <c:pt idx="10">
                  <c:v>3684.8</c:v>
                </c:pt>
                <c:pt idx="11">
                  <c:v>35100</c:v>
                </c:pt>
              </c:numCache>
            </c:numRef>
          </c:val>
          <c:smooth val="0"/>
          <c:extLst>
            <c:ext xmlns:c16="http://schemas.microsoft.com/office/drawing/2014/chart" uri="{C3380CC4-5D6E-409C-BE32-E72D297353CC}">
              <c16:uniqueId val="{00000000-78BB-4CE7-9107-A12F8C05BEE7}"/>
            </c:ext>
          </c:extLst>
        </c:ser>
        <c:dLbls>
          <c:dLblPos val="t"/>
          <c:showLegendKey val="0"/>
          <c:showVal val="0"/>
          <c:showCatName val="0"/>
          <c:showSerName val="0"/>
          <c:showPercent val="0"/>
          <c:showBubbleSize val="0"/>
        </c:dLbls>
        <c:smooth val="0"/>
        <c:axId val="532222664"/>
        <c:axId val="532219424"/>
      </c:lineChart>
      <c:catAx>
        <c:axId val="53222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19424"/>
        <c:crosses val="autoZero"/>
        <c:auto val="1"/>
        <c:lblAlgn val="ctr"/>
        <c:lblOffset val="100"/>
        <c:noMultiLvlLbl val="0"/>
      </c:catAx>
      <c:valAx>
        <c:axId val="53221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22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[Assignment_7.xlsx]Sales Band Distribution!PivotTable5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Band Distribution'!$B$3</c:f>
              <c:strCache>
                <c:ptCount val="1"/>
                <c:pt idx="0">
                  <c:v>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Band Distribution'!$A$4:$A$7</c:f>
              <c:strCache>
                <c:ptCount val="3"/>
                <c:pt idx="0">
                  <c:v>High</c:v>
                </c:pt>
                <c:pt idx="1">
                  <c:v>Low</c:v>
                </c:pt>
                <c:pt idx="2">
                  <c:v>Medium</c:v>
                </c:pt>
              </c:strCache>
            </c:strRef>
          </c:cat>
          <c:val>
            <c:numRef>
              <c:f>'Sales Band Distribution'!$B$4:$B$7</c:f>
              <c:numCache>
                <c:formatCode>General</c:formatCode>
                <c:ptCount val="3"/>
                <c:pt idx="0">
                  <c:v>3</c:v>
                </c:pt>
                <c:pt idx="1">
                  <c:v>5</c:v>
                </c:pt>
                <c:pt idx="2">
                  <c:v>4</c:v>
                </c:pt>
              </c:numCache>
            </c:numRef>
          </c:val>
          <c:extLst>
            <c:ext xmlns:c16="http://schemas.microsoft.com/office/drawing/2014/chart" uri="{C3380CC4-5D6E-409C-BE32-E72D297353CC}">
              <c16:uniqueId val="{00000000-BBA7-4E5F-BDBC-DAF2ED1D41AA}"/>
            </c:ext>
          </c:extLst>
        </c:ser>
        <c:ser>
          <c:idx val="1"/>
          <c:order val="1"/>
          <c:tx>
            <c:strRef>
              <c:f>'Sales Band Distribution'!$C$3</c:f>
              <c:strCache>
                <c:ptCount val="1"/>
                <c:pt idx="0">
                  <c:v>Sum of Net Sales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Band Distribution'!$A$4:$A$7</c:f>
              <c:strCache>
                <c:ptCount val="3"/>
                <c:pt idx="0">
                  <c:v>High</c:v>
                </c:pt>
                <c:pt idx="1">
                  <c:v>Low</c:v>
                </c:pt>
                <c:pt idx="2">
                  <c:v>Medium</c:v>
                </c:pt>
              </c:strCache>
            </c:strRef>
          </c:cat>
          <c:val>
            <c:numRef>
              <c:f>'Sales Band Distribution'!$C$4:$C$7</c:f>
              <c:numCache>
                <c:formatCode>General</c:formatCode>
                <c:ptCount val="3"/>
                <c:pt idx="0">
                  <c:v>104782</c:v>
                </c:pt>
                <c:pt idx="1">
                  <c:v>16321.8</c:v>
                </c:pt>
                <c:pt idx="2">
                  <c:v>67388</c:v>
                </c:pt>
              </c:numCache>
            </c:numRef>
          </c:val>
          <c:extLst>
            <c:ext xmlns:c16="http://schemas.microsoft.com/office/drawing/2014/chart" uri="{C3380CC4-5D6E-409C-BE32-E72D297353CC}">
              <c16:uniqueId val="{00000001-BBA7-4E5F-BDBC-DAF2ED1D41AA}"/>
            </c:ext>
          </c:extLst>
        </c:ser>
        <c:dLbls>
          <c:dLblPos val="outEnd"/>
          <c:showLegendKey val="0"/>
          <c:showVal val="1"/>
          <c:showCatName val="0"/>
          <c:showSerName val="0"/>
          <c:showPercent val="0"/>
          <c:showBubbleSize val="0"/>
        </c:dLbls>
        <c:gapWidth val="219"/>
        <c:overlap val="-27"/>
        <c:axId val="532207904"/>
        <c:axId val="532212584"/>
      </c:barChart>
      <c:catAx>
        <c:axId val="53220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32212584"/>
        <c:crosses val="autoZero"/>
        <c:auto val="1"/>
        <c:lblAlgn val="ctr"/>
        <c:lblOffset val="100"/>
        <c:noMultiLvlLbl val="0"/>
      </c:catAx>
      <c:valAx>
        <c:axId val="532212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3220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Annual   Paid</a:t>
            </a:r>
            <a:r>
              <a:rPr lang="en-US" baseline="0"/>
              <a:t>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5355636051711"/>
          <c:y val="0.16722222222222222"/>
          <c:w val="0.71763096836094087"/>
          <c:h val="0.60193641397015152"/>
        </c:manualLayout>
      </c:layout>
      <c:barChart>
        <c:barDir val="bar"/>
        <c:grouping val="clustered"/>
        <c:varyColors val="0"/>
        <c:dLbls>
          <c:dLblPos val="outEnd"/>
          <c:showLegendKey val="0"/>
          <c:showVal val="1"/>
          <c:showCatName val="0"/>
          <c:showSerName val="0"/>
          <c:showPercent val="0"/>
          <c:showBubbleSize val="0"/>
        </c:dLbls>
        <c:gapWidth val="182"/>
        <c:axId val="426426552"/>
        <c:axId val="426427632"/>
      </c:barChart>
      <c:catAx>
        <c:axId val="426426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27632"/>
        <c:crosses val="autoZero"/>
        <c:auto val="1"/>
        <c:lblAlgn val="ctr"/>
        <c:lblOffset val="100"/>
        <c:noMultiLvlLbl val="0"/>
      </c:catAx>
      <c:valAx>
        <c:axId val="42642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26552"/>
        <c:crosses val="autoZero"/>
        <c:crossBetween val="between"/>
        <c:dispUnits>
          <c:builtInUnit val="thousands"/>
          <c:dispUnitsLbl>
            <c:layout>
              <c:manualLayout>
                <c:xMode val="edge"/>
                <c:yMode val="edge"/>
                <c:x val="0.8110471472261046"/>
                <c:y val="0.43669032703028909"/>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4443583392146271"/>
          <c:y val="0.26080090809816658"/>
          <c:w val="9.9442665137550526E-2"/>
          <c:h val="0.10416739574219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Annual   Paid</a:t>
            </a:r>
            <a:r>
              <a:rPr lang="en-US" baseline="0"/>
              <a:t>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05355636051711"/>
          <c:y val="0.16722222222222222"/>
          <c:w val="0.71763096836094087"/>
          <c:h val="0.60193641397015152"/>
        </c:manualLayout>
      </c:layout>
      <c:barChart>
        <c:barDir val="bar"/>
        <c:grouping val="clustered"/>
        <c:varyColors val="0"/>
        <c:dLbls>
          <c:dLblPos val="outEnd"/>
          <c:showLegendKey val="0"/>
          <c:showVal val="1"/>
          <c:showCatName val="0"/>
          <c:showSerName val="0"/>
          <c:showPercent val="0"/>
          <c:showBubbleSize val="0"/>
        </c:dLbls>
        <c:gapWidth val="182"/>
        <c:axId val="426426552"/>
        <c:axId val="426427632"/>
      </c:barChart>
      <c:catAx>
        <c:axId val="426426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27632"/>
        <c:crosses val="autoZero"/>
        <c:auto val="1"/>
        <c:lblAlgn val="ctr"/>
        <c:lblOffset val="100"/>
        <c:noMultiLvlLbl val="0"/>
      </c:catAx>
      <c:valAx>
        <c:axId val="426427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426552"/>
        <c:crosses val="autoZero"/>
        <c:crossBetween val="between"/>
        <c:dispUnits>
          <c:builtInUnit val="thousands"/>
          <c:dispUnitsLbl>
            <c:layout>
              <c:manualLayout>
                <c:xMode val="edge"/>
                <c:yMode val="edge"/>
                <c:x val="0.8110471472261046"/>
                <c:y val="0.43669032703028909"/>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4443583392146271"/>
          <c:y val="0.26080090809816658"/>
          <c:w val="9.9442665137550526E-2"/>
          <c:h val="0.10416739574219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[Assignment_7.xlsx]Salesperson Net Sales!PivotTable3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Net Sales'!$B$4</c:f>
              <c:strCache>
                <c:ptCount val="1"/>
                <c:pt idx="0">
                  <c:v>Sum of Net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Net Sales'!$A$5:$A$10</c:f>
              <c:strCache>
                <c:ptCount val="5"/>
                <c:pt idx="0">
                  <c:v>Ahmed</c:v>
                </c:pt>
                <c:pt idx="1">
                  <c:v>Lina</c:v>
                </c:pt>
                <c:pt idx="2">
                  <c:v>Mona</c:v>
                </c:pt>
                <c:pt idx="3">
                  <c:v>Omar</c:v>
                </c:pt>
                <c:pt idx="4">
                  <c:v>Sara</c:v>
                </c:pt>
              </c:strCache>
            </c:strRef>
          </c:cat>
          <c:val>
            <c:numRef>
              <c:f>'Salesperson Net Sales'!$B$5:$B$10</c:f>
              <c:numCache>
                <c:formatCode>General</c:formatCode>
                <c:ptCount val="5"/>
                <c:pt idx="0">
                  <c:v>38750</c:v>
                </c:pt>
                <c:pt idx="1">
                  <c:v>56095</c:v>
                </c:pt>
                <c:pt idx="2">
                  <c:v>20452</c:v>
                </c:pt>
                <c:pt idx="3">
                  <c:v>31858</c:v>
                </c:pt>
                <c:pt idx="4">
                  <c:v>41336.800000000003</c:v>
                </c:pt>
              </c:numCache>
            </c:numRef>
          </c:val>
          <c:extLst>
            <c:ext xmlns:c16="http://schemas.microsoft.com/office/drawing/2014/chart" uri="{C3380CC4-5D6E-409C-BE32-E72D297353CC}">
              <c16:uniqueId val="{00000000-ED5C-42BD-AD94-01B95E35AD1B}"/>
            </c:ext>
          </c:extLst>
        </c:ser>
        <c:ser>
          <c:idx val="1"/>
          <c:order val="1"/>
          <c:tx>
            <c:strRef>
              <c:f>'Salesperson Net Sales'!$C$4</c:f>
              <c:strCache>
                <c:ptCount val="1"/>
                <c:pt idx="0">
                  <c:v>Sum of Profit (Assume fixed margin)</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Net Sales'!$A$5:$A$10</c:f>
              <c:strCache>
                <c:ptCount val="5"/>
                <c:pt idx="0">
                  <c:v>Ahmed</c:v>
                </c:pt>
                <c:pt idx="1">
                  <c:v>Lina</c:v>
                </c:pt>
                <c:pt idx="2">
                  <c:v>Mona</c:v>
                </c:pt>
                <c:pt idx="3">
                  <c:v>Omar</c:v>
                </c:pt>
                <c:pt idx="4">
                  <c:v>Sara</c:v>
                </c:pt>
              </c:strCache>
            </c:strRef>
          </c:cat>
          <c:val>
            <c:numRef>
              <c:f>'Salesperson Net Sales'!$C$5:$C$10</c:f>
              <c:numCache>
                <c:formatCode>General</c:formatCode>
                <c:ptCount val="5"/>
                <c:pt idx="0">
                  <c:v>8290</c:v>
                </c:pt>
                <c:pt idx="1">
                  <c:v>11717.75</c:v>
                </c:pt>
                <c:pt idx="2">
                  <c:v>4479.2</c:v>
                </c:pt>
                <c:pt idx="3">
                  <c:v>6371.6</c:v>
                </c:pt>
                <c:pt idx="4">
                  <c:v>9288.08</c:v>
                </c:pt>
              </c:numCache>
            </c:numRef>
          </c:val>
          <c:extLst>
            <c:ext xmlns:c16="http://schemas.microsoft.com/office/drawing/2014/chart" uri="{C3380CC4-5D6E-409C-BE32-E72D297353CC}">
              <c16:uniqueId val="{00000001-ED5C-42BD-AD94-01B95E35AD1B}"/>
            </c:ext>
          </c:extLst>
        </c:ser>
        <c:dLbls>
          <c:dLblPos val="outEnd"/>
          <c:showLegendKey val="0"/>
          <c:showVal val="1"/>
          <c:showCatName val="0"/>
          <c:showSerName val="0"/>
          <c:showPercent val="0"/>
          <c:showBubbleSize val="0"/>
        </c:dLbls>
        <c:gapWidth val="182"/>
        <c:axId val="534654944"/>
        <c:axId val="534653144"/>
      </c:barChart>
      <c:catAx>
        <c:axId val="53465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4653144"/>
        <c:crosses val="autoZero"/>
        <c:auto val="1"/>
        <c:lblAlgn val="ctr"/>
        <c:lblOffset val="100"/>
        <c:noMultiLvlLbl val="0"/>
      </c:catAx>
      <c:valAx>
        <c:axId val="534653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465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[Assignment_7.xlsx]Net Sales by Region &amp; Channel!PivotTable1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 Sales by Region &amp; Channel'!$B$3:$B$4</c:f>
              <c:strCache>
                <c:ptCount val="1"/>
                <c:pt idx="0">
                  <c:v>Distributor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Sales by Region &amp; Channel'!$A$5:$A$9</c:f>
              <c:strCache>
                <c:ptCount val="4"/>
                <c:pt idx="0">
                  <c:v>East</c:v>
                </c:pt>
                <c:pt idx="1">
                  <c:v>North</c:v>
                </c:pt>
                <c:pt idx="2">
                  <c:v>South</c:v>
                </c:pt>
                <c:pt idx="3">
                  <c:v>West</c:v>
                </c:pt>
              </c:strCache>
            </c:strRef>
          </c:cat>
          <c:val>
            <c:numRef>
              <c:f>'Net Sales by Region &amp; Channel'!$B$5:$B$9</c:f>
              <c:numCache>
                <c:formatCode>General</c:formatCode>
                <c:ptCount val="4"/>
                <c:pt idx="1">
                  <c:v>31858</c:v>
                </c:pt>
                <c:pt idx="2">
                  <c:v>35100</c:v>
                </c:pt>
              </c:numCache>
            </c:numRef>
          </c:val>
          <c:extLst>
            <c:ext xmlns:c16="http://schemas.microsoft.com/office/drawing/2014/chart" uri="{C3380CC4-5D6E-409C-BE32-E72D297353CC}">
              <c16:uniqueId val="{00000000-2E8C-4CC8-B9BF-1F0F6D0C7992}"/>
            </c:ext>
          </c:extLst>
        </c:ser>
        <c:ser>
          <c:idx val="1"/>
          <c:order val="1"/>
          <c:tx>
            <c:strRef>
              <c:f>'Net Sales by Region &amp; Channel'!$C$3:$C$4</c:f>
              <c:strCache>
                <c:ptCount val="1"/>
                <c:pt idx="0">
                  <c:v>Online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Sales by Region &amp; Channel'!$A$5:$A$9</c:f>
              <c:strCache>
                <c:ptCount val="4"/>
                <c:pt idx="0">
                  <c:v>East</c:v>
                </c:pt>
                <c:pt idx="1">
                  <c:v>North</c:v>
                </c:pt>
                <c:pt idx="2">
                  <c:v>South</c:v>
                </c:pt>
                <c:pt idx="3">
                  <c:v>West</c:v>
                </c:pt>
              </c:strCache>
            </c:strRef>
          </c:cat>
          <c:val>
            <c:numRef>
              <c:f>'Net Sales by Region &amp; Channel'!$C$5:$C$9</c:f>
              <c:numCache>
                <c:formatCode>General</c:formatCode>
                <c:ptCount val="4"/>
                <c:pt idx="0">
                  <c:v>37742</c:v>
                </c:pt>
                <c:pt idx="2">
                  <c:v>3325</c:v>
                </c:pt>
                <c:pt idx="3">
                  <c:v>34532</c:v>
                </c:pt>
              </c:numCache>
            </c:numRef>
          </c:val>
          <c:extLst>
            <c:ext xmlns:c16="http://schemas.microsoft.com/office/drawing/2014/chart" uri="{C3380CC4-5D6E-409C-BE32-E72D297353CC}">
              <c16:uniqueId val="{00000001-2E8C-4CC8-B9BF-1F0F6D0C7992}"/>
            </c:ext>
          </c:extLst>
        </c:ser>
        <c:ser>
          <c:idx val="2"/>
          <c:order val="2"/>
          <c:tx>
            <c:strRef>
              <c:f>'Net Sales by Region &amp; Channel'!$D$3:$D$4</c:f>
              <c:strCache>
                <c:ptCount val="1"/>
                <c:pt idx="0">
                  <c:v>Retail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Sales by Region &amp; Channel'!$A$5:$A$9</c:f>
              <c:strCache>
                <c:ptCount val="4"/>
                <c:pt idx="0">
                  <c:v>East</c:v>
                </c:pt>
                <c:pt idx="1">
                  <c:v>North</c:v>
                </c:pt>
                <c:pt idx="2">
                  <c:v>South</c:v>
                </c:pt>
                <c:pt idx="3">
                  <c:v>West</c:v>
                </c:pt>
              </c:strCache>
            </c:strRef>
          </c:cat>
          <c:val>
            <c:numRef>
              <c:f>'Net Sales by Region &amp; Channel'!$D$5:$D$9</c:f>
              <c:numCache>
                <c:formatCode>General</c:formatCode>
                <c:ptCount val="4"/>
                <c:pt idx="0">
                  <c:v>21460</c:v>
                </c:pt>
                <c:pt idx="2">
                  <c:v>17670</c:v>
                </c:pt>
                <c:pt idx="3">
                  <c:v>6804.8</c:v>
                </c:pt>
              </c:numCache>
            </c:numRef>
          </c:val>
          <c:extLst>
            <c:ext xmlns:c16="http://schemas.microsoft.com/office/drawing/2014/chart" uri="{C3380CC4-5D6E-409C-BE32-E72D297353CC}">
              <c16:uniqueId val="{00000002-2E8C-4CC8-B9BF-1F0F6D0C7992}"/>
            </c:ext>
          </c:extLst>
        </c:ser>
        <c:dLbls>
          <c:dLblPos val="outEnd"/>
          <c:showLegendKey val="0"/>
          <c:showVal val="1"/>
          <c:showCatName val="0"/>
          <c:showSerName val="0"/>
          <c:showPercent val="0"/>
          <c:showBubbleSize val="0"/>
        </c:dLbls>
        <c:gapWidth val="219"/>
        <c:overlap val="-27"/>
        <c:axId val="502655096"/>
        <c:axId val="502655816"/>
      </c:barChart>
      <c:catAx>
        <c:axId val="502655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55816"/>
        <c:crosses val="autoZero"/>
        <c:auto val="1"/>
        <c:lblAlgn val="ctr"/>
        <c:lblOffset val="100"/>
        <c:noMultiLvlLbl val="0"/>
      </c:catAx>
      <c:valAx>
        <c:axId val="502655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655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[Assignment_7.xlsx]Sales Band Distribution!PivotTable5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Band Distribution'!$B$3</c:f>
              <c:strCache>
                <c:ptCount val="1"/>
                <c:pt idx="0">
                  <c:v>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Band Distribution'!$A$4:$A$7</c:f>
              <c:strCache>
                <c:ptCount val="3"/>
                <c:pt idx="0">
                  <c:v>High</c:v>
                </c:pt>
                <c:pt idx="1">
                  <c:v>Low</c:v>
                </c:pt>
                <c:pt idx="2">
                  <c:v>Medium</c:v>
                </c:pt>
              </c:strCache>
            </c:strRef>
          </c:cat>
          <c:val>
            <c:numRef>
              <c:f>'Sales Band Distribution'!$B$4:$B$7</c:f>
              <c:numCache>
                <c:formatCode>General</c:formatCode>
                <c:ptCount val="3"/>
                <c:pt idx="0">
                  <c:v>3</c:v>
                </c:pt>
                <c:pt idx="1">
                  <c:v>5</c:v>
                </c:pt>
                <c:pt idx="2">
                  <c:v>4</c:v>
                </c:pt>
              </c:numCache>
            </c:numRef>
          </c:val>
          <c:extLst>
            <c:ext xmlns:c16="http://schemas.microsoft.com/office/drawing/2014/chart" uri="{C3380CC4-5D6E-409C-BE32-E72D297353CC}">
              <c16:uniqueId val="{00000000-4C4A-4AD2-A9CC-2BA6A0E8CB1A}"/>
            </c:ext>
          </c:extLst>
        </c:ser>
        <c:ser>
          <c:idx val="1"/>
          <c:order val="1"/>
          <c:tx>
            <c:strRef>
              <c:f>'Sales Band Distribution'!$C$3</c:f>
              <c:strCache>
                <c:ptCount val="1"/>
                <c:pt idx="0">
                  <c:v>Sum of Net Sales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Band Distribution'!$A$4:$A$7</c:f>
              <c:strCache>
                <c:ptCount val="3"/>
                <c:pt idx="0">
                  <c:v>High</c:v>
                </c:pt>
                <c:pt idx="1">
                  <c:v>Low</c:v>
                </c:pt>
                <c:pt idx="2">
                  <c:v>Medium</c:v>
                </c:pt>
              </c:strCache>
            </c:strRef>
          </c:cat>
          <c:val>
            <c:numRef>
              <c:f>'Sales Band Distribution'!$C$4:$C$7</c:f>
              <c:numCache>
                <c:formatCode>General</c:formatCode>
                <c:ptCount val="3"/>
                <c:pt idx="0">
                  <c:v>104782</c:v>
                </c:pt>
                <c:pt idx="1">
                  <c:v>16321.8</c:v>
                </c:pt>
                <c:pt idx="2">
                  <c:v>67388</c:v>
                </c:pt>
              </c:numCache>
            </c:numRef>
          </c:val>
          <c:extLst>
            <c:ext xmlns:c16="http://schemas.microsoft.com/office/drawing/2014/chart" uri="{C3380CC4-5D6E-409C-BE32-E72D297353CC}">
              <c16:uniqueId val="{00000001-4C4A-4AD2-A9CC-2BA6A0E8CB1A}"/>
            </c:ext>
          </c:extLst>
        </c:ser>
        <c:dLbls>
          <c:dLblPos val="outEnd"/>
          <c:showLegendKey val="0"/>
          <c:showVal val="1"/>
          <c:showCatName val="0"/>
          <c:showSerName val="0"/>
          <c:showPercent val="0"/>
          <c:showBubbleSize val="0"/>
        </c:dLbls>
        <c:gapWidth val="219"/>
        <c:overlap val="-27"/>
        <c:axId val="532207904"/>
        <c:axId val="532212584"/>
      </c:barChart>
      <c:catAx>
        <c:axId val="53220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32212584"/>
        <c:crosses val="autoZero"/>
        <c:auto val="1"/>
        <c:lblAlgn val="ctr"/>
        <c:lblOffset val="100"/>
        <c:noMultiLvlLbl val="0"/>
      </c:catAx>
      <c:valAx>
        <c:axId val="532212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3220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[Assignment_7.xlsx]Profit by Category!PivotTable2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a:t>Profit by Category</a:t>
            </a:r>
          </a:p>
        </c:rich>
      </c:tx>
      <c:layout>
        <c:manualLayout>
          <c:xMode val="edge"/>
          <c:yMode val="edge"/>
          <c:x val="0.35627077865266837"/>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22222222222221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1944444444444446"/>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22222222222221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944444444444446"/>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2222222222222212"/>
              <c:y val="-9.25925925925925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1944444444444446"/>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'Profit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7B-4BC5-983A-339FB3C02D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7B-4BC5-983A-339FB3C02D45}"/>
              </c:ext>
            </c:extLst>
          </c:dPt>
          <c:dLbls>
            <c:dLbl>
              <c:idx val="0"/>
              <c:layout>
                <c:manualLayout>
                  <c:x val="0.122222222222222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7B-4BC5-983A-339FB3C02D45}"/>
                </c:ext>
              </c:extLst>
            </c:dLbl>
            <c:dLbl>
              <c:idx val="1"/>
              <c:layout>
                <c:manualLayout>
                  <c:x val="-0.11944444444444446"/>
                  <c:y val="6.01851851851851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7B-4BC5-983A-339FB3C02D4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'Profit by Category'!$A$4:$A$6</c:f>
              <c:strCache>
                <c:ptCount val="2"/>
                <c:pt idx="0">
                  <c:v>Accessories</c:v>
                </c:pt>
                <c:pt idx="1">
                  <c:v>Electronics</c:v>
                </c:pt>
              </c:strCache>
            </c:strRef>
          </c:cat>
          <c:val>
            <c:numRef>
              <c:f>'Profit by Category'!$B$4:$B$6</c:f>
              <c:numCache>
                <c:formatCode>General</c:formatCode>
                <c:ptCount val="2"/>
                <c:pt idx="0">
                  <c:v>5712.63</c:v>
                </c:pt>
                <c:pt idx="1">
                  <c:v>34434</c:v>
                </c:pt>
              </c:numCache>
            </c:numRef>
          </c:val>
          <c:extLst>
            <c:ext xmlns:c16="http://schemas.microsoft.com/office/drawing/2014/chart" uri="{C3380CC4-5D6E-409C-BE32-E72D297353CC}">
              <c16:uniqueId val="{00000004-E97B-4BC5-983A-339FB3C02D4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[Assignment_7.xlsx]Monthly Net Sales!PivotTable4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Monthly Net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Net Sales'!$B$3</c:f>
              <c:strCache>
                <c:ptCount val="1"/>
                <c:pt idx="0">
                  <c:v>Total</c:v>
                </c:pt>
              </c:strCache>
            </c:strRef>
          </c:tx>
          <c:spPr>
            <a:ln w="28575" cap="rnd">
              <a:solidFill>
                <a:schemeClr val="accent1"/>
              </a:solidFill>
              <a:round/>
            </a:ln>
            <a:effectLst/>
          </c:spPr>
          <c:marker>
            <c:symbol val="none"/>
          </c:marker>
          <c:cat>
            <c:strRef>
              <c:f>'Monthly Net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Net Sales'!$B$4:$B$16</c:f>
              <c:numCache>
                <c:formatCode>General</c:formatCode>
                <c:ptCount val="12"/>
                <c:pt idx="0">
                  <c:v>35150</c:v>
                </c:pt>
                <c:pt idx="1">
                  <c:v>3120</c:v>
                </c:pt>
                <c:pt idx="2">
                  <c:v>2592</c:v>
                </c:pt>
                <c:pt idx="3">
                  <c:v>19530</c:v>
                </c:pt>
                <c:pt idx="4">
                  <c:v>17670</c:v>
                </c:pt>
                <c:pt idx="5">
                  <c:v>34532</c:v>
                </c:pt>
                <c:pt idx="6">
                  <c:v>3600</c:v>
                </c:pt>
                <c:pt idx="7">
                  <c:v>12328</c:v>
                </c:pt>
                <c:pt idx="8">
                  <c:v>3325</c:v>
                </c:pt>
                <c:pt idx="9">
                  <c:v>17860</c:v>
                </c:pt>
                <c:pt idx="10">
                  <c:v>3684.8</c:v>
                </c:pt>
                <c:pt idx="11">
                  <c:v>35100</c:v>
                </c:pt>
              </c:numCache>
            </c:numRef>
          </c:val>
          <c:smooth val="0"/>
          <c:extLst>
            <c:ext xmlns:c16="http://schemas.microsoft.com/office/drawing/2014/chart" uri="{C3380CC4-5D6E-409C-BE32-E72D297353CC}">
              <c16:uniqueId val="{00000000-0E4E-44E5-B134-8DD7D1B08261}"/>
            </c:ext>
          </c:extLst>
        </c:ser>
        <c:dLbls>
          <c:showLegendKey val="0"/>
          <c:showVal val="0"/>
          <c:showCatName val="0"/>
          <c:showSerName val="0"/>
          <c:showPercent val="0"/>
          <c:showBubbleSize val="0"/>
        </c:dLbls>
        <c:smooth val="0"/>
        <c:axId val="532222664"/>
        <c:axId val="532219424"/>
      </c:lineChart>
      <c:catAx>
        <c:axId val="53222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19424"/>
        <c:crosses val="autoZero"/>
        <c:auto val="1"/>
        <c:lblAlgn val="ctr"/>
        <c:lblOffset val="100"/>
        <c:noMultiLvlLbl val="0"/>
      </c:catAx>
      <c:valAx>
        <c:axId val="532219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22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426720</xdr:colOff>
      <xdr:row>5</xdr:row>
      <xdr:rowOff>34290</xdr:rowOff>
    </xdr:from>
    <xdr:to>
      <xdr:col>11</xdr:col>
      <xdr:colOff>487680</xdr:colOff>
      <xdr:row>15</xdr:row>
      <xdr:rowOff>144780</xdr:rowOff>
    </xdr:to>
    <xdr:graphicFrame macro="">
      <xdr:nvGraphicFramePr>
        <xdr:cNvPr id="2" name="Chart 1">
          <a:extLst>
            <a:ext uri="{FF2B5EF4-FFF2-40B4-BE49-F238E27FC236}">
              <a16:creationId xmlns:a16="http://schemas.microsoft.com/office/drawing/2014/main" id="{0F87FF8B-474B-B8A3-7467-8AB33D72C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83820</xdr:colOff>
      <xdr:row>6</xdr:row>
      <xdr:rowOff>148590</xdr:rowOff>
    </xdr:from>
    <xdr:to>
      <xdr:col>8</xdr:col>
      <xdr:colOff>213360</xdr:colOff>
      <xdr:row>20</xdr:row>
      <xdr:rowOff>160020</xdr:rowOff>
    </xdr:to>
    <xdr:graphicFrame macro="">
      <xdr:nvGraphicFramePr>
        <xdr:cNvPr id="2" name="Chart 1">
          <a:extLst>
            <a:ext uri="{FF2B5EF4-FFF2-40B4-BE49-F238E27FC236}">
              <a16:creationId xmlns:a16="http://schemas.microsoft.com/office/drawing/2014/main" id="{E98BE298-0FF9-FC64-1BCE-FA39D72AE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251460</xdr:colOff>
      <xdr:row>6</xdr:row>
      <xdr:rowOff>41910</xdr:rowOff>
    </xdr:from>
    <xdr:to>
      <xdr:col>10</xdr:col>
      <xdr:colOff>556260</xdr:colOff>
      <xdr:row>17</xdr:row>
      <xdr:rowOff>114300</xdr:rowOff>
    </xdr:to>
    <xdr:graphicFrame macro="">
      <xdr:nvGraphicFramePr>
        <xdr:cNvPr id="2" name="Chart 1">
          <a:extLst>
            <a:ext uri="{FF2B5EF4-FFF2-40B4-BE49-F238E27FC236}">
              <a16:creationId xmlns:a16="http://schemas.microsoft.com/office/drawing/2014/main" id="{E67169B4-CEAF-B56A-7DD3-EB59D4A0F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205740</xdr:colOff>
      <xdr:row>2</xdr:row>
      <xdr:rowOff>156210</xdr:rowOff>
    </xdr:from>
    <xdr:to>
      <xdr:col>11</xdr:col>
      <xdr:colOff>30480</xdr:colOff>
      <xdr:row>19</xdr:row>
      <xdr:rowOff>76200</xdr:rowOff>
    </xdr:to>
    <xdr:graphicFrame macro="">
      <xdr:nvGraphicFramePr>
        <xdr:cNvPr id="2" name="Chart 1">
          <a:extLst>
            <a:ext uri="{FF2B5EF4-FFF2-40B4-BE49-F238E27FC236}">
              <a16:creationId xmlns:a16="http://schemas.microsoft.com/office/drawing/2014/main" id="{1AEFE367-A472-A7C9-99B6-6CA54AE43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6</xdr:row>
      <xdr:rowOff>148590</xdr:rowOff>
    </xdr:from>
    <xdr:to>
      <xdr:col>10</xdr:col>
      <xdr:colOff>472440</xdr:colOff>
      <xdr:row>22</xdr:row>
      <xdr:rowOff>38100</xdr:rowOff>
    </xdr:to>
    <xdr:graphicFrame macro="">
      <xdr:nvGraphicFramePr>
        <xdr:cNvPr id="2" name="Chart 1">
          <a:extLst>
            <a:ext uri="{FF2B5EF4-FFF2-40B4-BE49-F238E27FC236}">
              <a16:creationId xmlns:a16="http://schemas.microsoft.com/office/drawing/2014/main" id="{8DC821FB-F867-E2A3-BA20-9B94810AB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213360</xdr:colOff>
      <xdr:row>0</xdr:row>
      <xdr:rowOff>72391</xdr:rowOff>
    </xdr:from>
    <xdr:to>
      <xdr:col>17</xdr:col>
      <xdr:colOff>390525</xdr:colOff>
      <xdr:row>2</xdr:row>
      <xdr:rowOff>123825</xdr:rowOff>
    </xdr:to>
    <xdr:sp macro="" textlink="">
      <xdr:nvSpPr>
        <xdr:cNvPr id="2" name="Rectangle: Rounded Corners 1">
          <a:extLst>
            <a:ext uri="{FF2B5EF4-FFF2-40B4-BE49-F238E27FC236}">
              <a16:creationId xmlns:a16="http://schemas.microsoft.com/office/drawing/2014/main" id="{5ED7E61A-29A2-4F1C-B90B-382CD200E259}"/>
            </a:ext>
          </a:extLst>
        </xdr:cNvPr>
        <xdr:cNvSpPr/>
      </xdr:nvSpPr>
      <xdr:spPr>
        <a:xfrm>
          <a:off x="213360" y="72391"/>
          <a:ext cx="10540365" cy="41338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403860</xdr:colOff>
      <xdr:row>0</xdr:row>
      <xdr:rowOff>114300</xdr:rowOff>
    </xdr:from>
    <xdr:to>
      <xdr:col>12</xdr:col>
      <xdr:colOff>297180</xdr:colOff>
      <xdr:row>2</xdr:row>
      <xdr:rowOff>85725</xdr:rowOff>
    </xdr:to>
    <xdr:sp macro="" textlink="">
      <xdr:nvSpPr>
        <xdr:cNvPr id="3" name="TextBox 2">
          <a:extLst>
            <a:ext uri="{FF2B5EF4-FFF2-40B4-BE49-F238E27FC236}">
              <a16:creationId xmlns:a16="http://schemas.microsoft.com/office/drawing/2014/main" id="{B9F294B6-5AD2-4658-B045-E2B8048039D6}"/>
            </a:ext>
          </a:extLst>
        </xdr:cNvPr>
        <xdr:cNvSpPr txBox="1"/>
      </xdr:nvSpPr>
      <xdr:spPr>
        <a:xfrm>
          <a:off x="2842260" y="114300"/>
          <a:ext cx="477012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kern="1200">
              <a:solidFill>
                <a:schemeClr val="bg1"/>
              </a:solidFill>
            </a:rPr>
            <a:t>Sales</a:t>
          </a:r>
          <a:r>
            <a:rPr lang="en-US" sz="2000" kern="1200">
              <a:solidFill>
                <a:schemeClr val="bg1"/>
              </a:solidFill>
            </a:rPr>
            <a:t>   </a:t>
          </a:r>
          <a:r>
            <a:rPr lang="en-US" sz="2400" kern="1200">
              <a:solidFill>
                <a:schemeClr val="bg1"/>
              </a:solidFill>
            </a:rPr>
            <a:t>Performance</a:t>
          </a:r>
          <a:r>
            <a:rPr lang="en-US" sz="2000" kern="1200">
              <a:solidFill>
                <a:schemeClr val="bg1"/>
              </a:solidFill>
            </a:rPr>
            <a:t>    </a:t>
          </a:r>
          <a:r>
            <a:rPr lang="en-US" sz="2400" kern="1200">
              <a:solidFill>
                <a:schemeClr val="bg1"/>
              </a:solidFill>
            </a:rPr>
            <a:t>Dashbord</a:t>
          </a:r>
          <a:endParaRPr lang="en-US" sz="2000" kern="1200">
            <a:solidFill>
              <a:schemeClr val="bg1"/>
            </a:solidFill>
          </a:endParaRPr>
        </a:p>
      </xdr:txBody>
    </xdr:sp>
    <xdr:clientData/>
  </xdr:twoCellAnchor>
  <xdr:twoCellAnchor>
    <xdr:from>
      <xdr:col>4</xdr:col>
      <xdr:colOff>201930</xdr:colOff>
      <xdr:row>6</xdr:row>
      <xdr:rowOff>32160</xdr:rowOff>
    </xdr:from>
    <xdr:to>
      <xdr:col>10</xdr:col>
      <xdr:colOff>378883</xdr:colOff>
      <xdr:row>14</xdr:row>
      <xdr:rowOff>142875</xdr:rowOff>
    </xdr:to>
    <xdr:sp macro="" textlink="">
      <xdr:nvSpPr>
        <xdr:cNvPr id="4" name="Rectangle: Rounded Corners 3">
          <a:extLst>
            <a:ext uri="{FF2B5EF4-FFF2-40B4-BE49-F238E27FC236}">
              <a16:creationId xmlns:a16="http://schemas.microsoft.com/office/drawing/2014/main" id="{5AE9A0D3-5EE8-4532-ABDA-BDCD3A41886B}"/>
            </a:ext>
          </a:extLst>
        </xdr:cNvPr>
        <xdr:cNvSpPr/>
      </xdr:nvSpPr>
      <xdr:spPr>
        <a:xfrm>
          <a:off x="2640330" y="1298985"/>
          <a:ext cx="3834553" cy="155851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539115</xdr:colOff>
      <xdr:row>6</xdr:row>
      <xdr:rowOff>6984</xdr:rowOff>
    </xdr:from>
    <xdr:to>
      <xdr:col>17</xdr:col>
      <xdr:colOff>432435</xdr:colOff>
      <xdr:row>20</xdr:row>
      <xdr:rowOff>178434</xdr:rowOff>
    </xdr:to>
    <xdr:sp macro="" textlink="">
      <xdr:nvSpPr>
        <xdr:cNvPr id="6" name="Rectangle: Rounded Corners 5">
          <a:extLst>
            <a:ext uri="{FF2B5EF4-FFF2-40B4-BE49-F238E27FC236}">
              <a16:creationId xmlns:a16="http://schemas.microsoft.com/office/drawing/2014/main" id="{C8F3F6ED-3A0B-4A8E-95A5-B0187395EFF2}"/>
            </a:ext>
          </a:extLst>
        </xdr:cNvPr>
        <xdr:cNvSpPr/>
      </xdr:nvSpPr>
      <xdr:spPr>
        <a:xfrm>
          <a:off x="6635115" y="1273809"/>
          <a:ext cx="4160520" cy="2705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22860</xdr:colOff>
      <xdr:row>5</xdr:row>
      <xdr:rowOff>143086</xdr:rowOff>
    </xdr:from>
    <xdr:to>
      <xdr:col>14</xdr:col>
      <xdr:colOff>137160</xdr:colOff>
      <xdr:row>17</xdr:row>
      <xdr:rowOff>89746</xdr:rowOff>
    </xdr:to>
    <xdr:graphicFrame macro="">
      <xdr:nvGraphicFramePr>
        <xdr:cNvPr id="9" name="Chart 8">
          <a:extLst>
            <a:ext uri="{FF2B5EF4-FFF2-40B4-BE49-F238E27FC236}">
              <a16:creationId xmlns:a16="http://schemas.microsoft.com/office/drawing/2014/main" id="{3CC65643-F0E5-4FC1-8B14-1DC88263E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281939</xdr:colOff>
      <xdr:row>3</xdr:row>
      <xdr:rowOff>0</xdr:rowOff>
    </xdr:from>
    <xdr:to>
      <xdr:col>4</xdr:col>
      <xdr:colOff>352424</xdr:colOff>
      <xdr:row>5</xdr:row>
      <xdr:rowOff>129540</xdr:rowOff>
    </xdr:to>
    <xdr:sp macro="" textlink="">
      <xdr:nvSpPr>
        <xdr:cNvPr id="10" name="Rectangle: Rounded Corners 9">
          <a:extLst>
            <a:ext uri="{FF2B5EF4-FFF2-40B4-BE49-F238E27FC236}">
              <a16:creationId xmlns:a16="http://schemas.microsoft.com/office/drawing/2014/main" id="{1F4EEA02-0B09-4C9F-88B4-7FC63FD6A46A}"/>
            </a:ext>
          </a:extLst>
        </xdr:cNvPr>
        <xdr:cNvSpPr/>
      </xdr:nvSpPr>
      <xdr:spPr>
        <a:xfrm>
          <a:off x="281939" y="542925"/>
          <a:ext cx="2508885" cy="49149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5</xdr:col>
      <xdr:colOff>428626</xdr:colOff>
      <xdr:row>3</xdr:row>
      <xdr:rowOff>0</xdr:rowOff>
    </xdr:from>
    <xdr:to>
      <xdr:col>10</xdr:col>
      <xdr:colOff>0</xdr:colOff>
      <xdr:row>5</xdr:row>
      <xdr:rowOff>129540</xdr:rowOff>
    </xdr:to>
    <xdr:sp macro="" textlink="">
      <xdr:nvSpPr>
        <xdr:cNvPr id="11" name="Rectangle: Rounded Corners 10">
          <a:extLst>
            <a:ext uri="{FF2B5EF4-FFF2-40B4-BE49-F238E27FC236}">
              <a16:creationId xmlns:a16="http://schemas.microsoft.com/office/drawing/2014/main" id="{7B6BF58F-7144-4DA8-A922-0B8A92CD1378}"/>
            </a:ext>
          </a:extLst>
        </xdr:cNvPr>
        <xdr:cNvSpPr/>
      </xdr:nvSpPr>
      <xdr:spPr>
        <a:xfrm>
          <a:off x="3476626" y="542925"/>
          <a:ext cx="2619374" cy="49149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kern="1200"/>
            <a:t>V</a:t>
          </a:r>
        </a:p>
      </xdr:txBody>
    </xdr:sp>
    <xdr:clientData/>
  </xdr:twoCellAnchor>
  <xdr:twoCellAnchor>
    <xdr:from>
      <xdr:col>1</xdr:col>
      <xdr:colOff>66674</xdr:colOff>
      <xdr:row>2</xdr:row>
      <xdr:rowOff>152400</xdr:rowOff>
    </xdr:from>
    <xdr:to>
      <xdr:col>3</xdr:col>
      <xdr:colOff>609599</xdr:colOff>
      <xdr:row>4</xdr:row>
      <xdr:rowOff>171450</xdr:rowOff>
    </xdr:to>
    <xdr:sp macro="" textlink="">
      <xdr:nvSpPr>
        <xdr:cNvPr id="13" name="TextBox 12">
          <a:extLst>
            <a:ext uri="{FF2B5EF4-FFF2-40B4-BE49-F238E27FC236}">
              <a16:creationId xmlns:a16="http://schemas.microsoft.com/office/drawing/2014/main" id="{5F13031A-63F1-4CF1-8898-B6F74EE005EF}"/>
            </a:ext>
          </a:extLst>
        </xdr:cNvPr>
        <xdr:cNvSpPr txBox="1"/>
      </xdr:nvSpPr>
      <xdr:spPr>
        <a:xfrm>
          <a:off x="676274" y="514350"/>
          <a:ext cx="1762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ysClr val="windowText" lastClr="000000"/>
              </a:solidFill>
            </a:rPr>
            <a:t>Total Net Sales</a:t>
          </a:r>
        </a:p>
      </xdr:txBody>
    </xdr:sp>
    <xdr:clientData/>
  </xdr:twoCellAnchor>
  <xdr:twoCellAnchor>
    <xdr:from>
      <xdr:col>1</xdr:col>
      <xdr:colOff>335279</xdr:colOff>
      <xdr:row>4</xdr:row>
      <xdr:rowOff>30479</xdr:rowOff>
    </xdr:from>
    <xdr:to>
      <xdr:col>3</xdr:col>
      <xdr:colOff>409575</xdr:colOff>
      <xdr:row>5</xdr:row>
      <xdr:rowOff>152399</xdr:rowOff>
    </xdr:to>
    <xdr:sp macro="" textlink="KPI!G5">
      <xdr:nvSpPr>
        <xdr:cNvPr id="14" name="TextBox 13">
          <a:extLst>
            <a:ext uri="{FF2B5EF4-FFF2-40B4-BE49-F238E27FC236}">
              <a16:creationId xmlns:a16="http://schemas.microsoft.com/office/drawing/2014/main" id="{B5AD1507-1073-4772-820F-73975BD28CA8}"/>
            </a:ext>
          </a:extLst>
        </xdr:cNvPr>
        <xdr:cNvSpPr txBox="1"/>
      </xdr:nvSpPr>
      <xdr:spPr>
        <a:xfrm>
          <a:off x="944879" y="754379"/>
          <a:ext cx="1293496" cy="302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6EADBC-DFF9-47E1-950A-E4C96ABB578B}" type="TxLink">
            <a:rPr lang="en-US" sz="1600" b="1" i="0" u="none" strike="noStrike" kern="1200">
              <a:solidFill>
                <a:srgbClr val="00B050"/>
              </a:solidFill>
              <a:latin typeface="Calibri"/>
              <a:ea typeface="Calibri"/>
              <a:cs typeface="Calibri"/>
            </a:rPr>
            <a:t>$188,491.80</a:t>
          </a:fld>
          <a:endParaRPr lang="en-US" sz="2000" b="1" kern="1200">
            <a:solidFill>
              <a:srgbClr val="00B050"/>
            </a:solidFill>
          </a:endParaRPr>
        </a:p>
      </xdr:txBody>
    </xdr:sp>
    <xdr:clientData/>
  </xdr:twoCellAnchor>
  <xdr:twoCellAnchor>
    <xdr:from>
      <xdr:col>6</xdr:col>
      <xdr:colOff>330409</xdr:colOff>
      <xdr:row>2</xdr:row>
      <xdr:rowOff>171450</xdr:rowOff>
    </xdr:from>
    <xdr:to>
      <xdr:col>8</xdr:col>
      <xdr:colOff>581869</xdr:colOff>
      <xdr:row>4</xdr:row>
      <xdr:rowOff>51435</xdr:rowOff>
    </xdr:to>
    <xdr:sp macro="" textlink="">
      <xdr:nvSpPr>
        <xdr:cNvPr id="17" name="TextBox 16">
          <a:extLst>
            <a:ext uri="{FF2B5EF4-FFF2-40B4-BE49-F238E27FC236}">
              <a16:creationId xmlns:a16="http://schemas.microsoft.com/office/drawing/2014/main" id="{1F00CFC4-699E-43B9-8753-7BDDD3045A5B}"/>
            </a:ext>
          </a:extLst>
        </xdr:cNvPr>
        <xdr:cNvSpPr txBox="1"/>
      </xdr:nvSpPr>
      <xdr:spPr>
        <a:xfrm>
          <a:off x="3988009" y="533400"/>
          <a:ext cx="1470660"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kern="1200">
              <a:solidFill>
                <a:sysClr val="windowText" lastClr="000000"/>
              </a:solidFill>
            </a:rPr>
            <a:t>Total     </a:t>
          </a:r>
          <a:r>
            <a:rPr lang="en-US" sz="1600" b="1" kern="1200">
              <a:solidFill>
                <a:sysClr val="windowText" lastClr="000000"/>
              </a:solidFill>
              <a:latin typeface="+mn-lt"/>
              <a:ea typeface="+mn-ea"/>
              <a:cs typeface="+mn-cs"/>
            </a:rPr>
            <a:t>Profit</a:t>
          </a:r>
        </a:p>
      </xdr:txBody>
    </xdr:sp>
    <xdr:clientData/>
  </xdr:twoCellAnchor>
  <xdr:twoCellAnchor>
    <xdr:from>
      <xdr:col>11</xdr:col>
      <xdr:colOff>504821</xdr:colOff>
      <xdr:row>3</xdr:row>
      <xdr:rowOff>0</xdr:rowOff>
    </xdr:from>
    <xdr:to>
      <xdr:col>16</xdr:col>
      <xdr:colOff>466724</xdr:colOff>
      <xdr:row>5</xdr:row>
      <xdr:rowOff>137160</xdr:rowOff>
    </xdr:to>
    <xdr:sp macro="" textlink="">
      <xdr:nvSpPr>
        <xdr:cNvPr id="19" name="Rectangle: Rounded Corners 18">
          <a:extLst>
            <a:ext uri="{FF2B5EF4-FFF2-40B4-BE49-F238E27FC236}">
              <a16:creationId xmlns:a16="http://schemas.microsoft.com/office/drawing/2014/main" id="{0803C2F2-5A03-4A6E-AD02-4ADB6CD760B4}"/>
            </a:ext>
          </a:extLst>
        </xdr:cNvPr>
        <xdr:cNvSpPr/>
      </xdr:nvSpPr>
      <xdr:spPr>
        <a:xfrm>
          <a:off x="7210421" y="542925"/>
          <a:ext cx="3009903" cy="49911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22648</xdr:colOff>
      <xdr:row>3</xdr:row>
      <xdr:rowOff>9525</xdr:rowOff>
    </xdr:from>
    <xdr:to>
      <xdr:col>15</xdr:col>
      <xdr:colOff>274108</xdr:colOff>
      <xdr:row>4</xdr:row>
      <xdr:rowOff>65405</xdr:rowOff>
    </xdr:to>
    <xdr:sp macro="" textlink="">
      <xdr:nvSpPr>
        <xdr:cNvPr id="24" name="TextBox 23">
          <a:extLst>
            <a:ext uri="{FF2B5EF4-FFF2-40B4-BE49-F238E27FC236}">
              <a16:creationId xmlns:a16="http://schemas.microsoft.com/office/drawing/2014/main" id="{B3C86124-F4C6-4D3C-A3B7-18C5444D1743}"/>
            </a:ext>
          </a:extLst>
        </xdr:cNvPr>
        <xdr:cNvSpPr txBox="1"/>
      </xdr:nvSpPr>
      <xdr:spPr>
        <a:xfrm>
          <a:off x="7947448" y="552450"/>
          <a:ext cx="1470660" cy="236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kern="1200">
              <a:solidFill>
                <a:sysClr val="windowText" lastClr="000000"/>
              </a:solidFill>
            </a:rPr>
            <a:t> Total   Orders</a:t>
          </a:r>
        </a:p>
      </xdr:txBody>
    </xdr:sp>
    <xdr:clientData/>
  </xdr:twoCellAnchor>
  <xdr:twoCellAnchor>
    <xdr:from>
      <xdr:col>4</xdr:col>
      <xdr:colOff>213360</xdr:colOff>
      <xdr:row>15</xdr:row>
      <xdr:rowOff>32173</xdr:rowOff>
    </xdr:from>
    <xdr:to>
      <xdr:col>10</xdr:col>
      <xdr:colOff>457200</xdr:colOff>
      <xdr:row>25</xdr:row>
      <xdr:rowOff>87841</xdr:rowOff>
    </xdr:to>
    <xdr:sp macro="" textlink="">
      <xdr:nvSpPr>
        <xdr:cNvPr id="30" name="Rectangle: Rounded Corners 29">
          <a:extLst>
            <a:ext uri="{FF2B5EF4-FFF2-40B4-BE49-F238E27FC236}">
              <a16:creationId xmlns:a16="http://schemas.microsoft.com/office/drawing/2014/main" id="{EC1E6AA8-0440-4976-939B-06755CF8E1B8}"/>
            </a:ext>
          </a:extLst>
        </xdr:cNvPr>
        <xdr:cNvSpPr/>
      </xdr:nvSpPr>
      <xdr:spPr>
        <a:xfrm>
          <a:off x="2651760" y="2927773"/>
          <a:ext cx="3901440" cy="186541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76200</xdr:colOff>
      <xdr:row>5</xdr:row>
      <xdr:rowOff>168908</xdr:rowOff>
    </xdr:from>
    <xdr:to>
      <xdr:col>4</xdr:col>
      <xdr:colOff>171450</xdr:colOff>
      <xdr:row>36</xdr:row>
      <xdr:rowOff>180974</xdr:rowOff>
    </xdr:to>
    <xdr:sp macro="" textlink="">
      <xdr:nvSpPr>
        <xdr:cNvPr id="31" name="Rectangle: Rounded Corners 30">
          <a:extLst>
            <a:ext uri="{FF2B5EF4-FFF2-40B4-BE49-F238E27FC236}">
              <a16:creationId xmlns:a16="http://schemas.microsoft.com/office/drawing/2014/main" id="{D93E445E-EC47-4ECF-8F7F-EC287424A898}"/>
            </a:ext>
          </a:extLst>
        </xdr:cNvPr>
        <xdr:cNvSpPr/>
      </xdr:nvSpPr>
      <xdr:spPr>
        <a:xfrm>
          <a:off x="76200" y="1073783"/>
          <a:ext cx="2533650" cy="562229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22860</xdr:colOff>
      <xdr:row>5</xdr:row>
      <xdr:rowOff>143086</xdr:rowOff>
    </xdr:from>
    <xdr:to>
      <xdr:col>14</xdr:col>
      <xdr:colOff>137160</xdr:colOff>
      <xdr:row>17</xdr:row>
      <xdr:rowOff>89746</xdr:rowOff>
    </xdr:to>
    <xdr:graphicFrame macro="">
      <xdr:nvGraphicFramePr>
        <xdr:cNvPr id="34" name="Chart 33">
          <a:extLst>
            <a:ext uri="{FF2B5EF4-FFF2-40B4-BE49-F238E27FC236}">
              <a16:creationId xmlns:a16="http://schemas.microsoft.com/office/drawing/2014/main" id="{5BFFCFFE-EB87-4491-9436-3555508AD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542925</xdr:colOff>
      <xdr:row>5</xdr:row>
      <xdr:rowOff>108360</xdr:rowOff>
    </xdr:from>
    <xdr:to>
      <xdr:col>17</xdr:col>
      <xdr:colOff>504825</xdr:colOff>
      <xdr:row>21</xdr:row>
      <xdr:rowOff>0</xdr:rowOff>
    </xdr:to>
    <xdr:graphicFrame macro="">
      <xdr:nvGraphicFramePr>
        <xdr:cNvPr id="52" name="Chart 51">
          <a:extLst>
            <a:ext uri="{FF2B5EF4-FFF2-40B4-BE49-F238E27FC236}">
              <a16:creationId xmlns:a16="http://schemas.microsoft.com/office/drawing/2014/main" id="{3256D5AE-7E69-40E4-A0ED-0253138F3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219075</xdr:colOff>
      <xdr:row>25</xdr:row>
      <xdr:rowOff>180974</xdr:rowOff>
    </xdr:from>
    <xdr:to>
      <xdr:col>10</xdr:col>
      <xdr:colOff>462915</xdr:colOff>
      <xdr:row>36</xdr:row>
      <xdr:rowOff>180974</xdr:rowOff>
    </xdr:to>
    <xdr:sp macro="" textlink="">
      <xdr:nvSpPr>
        <xdr:cNvPr id="53" name="Rectangle: Rounded Corners 52">
          <a:extLst>
            <a:ext uri="{FF2B5EF4-FFF2-40B4-BE49-F238E27FC236}">
              <a16:creationId xmlns:a16="http://schemas.microsoft.com/office/drawing/2014/main" id="{3CFD1726-64C5-4E4F-89B9-9256E2D854AD}"/>
            </a:ext>
          </a:extLst>
        </xdr:cNvPr>
        <xdr:cNvSpPr/>
      </xdr:nvSpPr>
      <xdr:spPr>
        <a:xfrm>
          <a:off x="2657475" y="4705349"/>
          <a:ext cx="3901440" cy="19907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10</xdr:col>
      <xdr:colOff>571500</xdr:colOff>
      <xdr:row>21</xdr:row>
      <xdr:rowOff>133350</xdr:rowOff>
    </xdr:from>
    <xdr:to>
      <xdr:col>17</xdr:col>
      <xdr:colOff>464820</xdr:colOff>
      <xdr:row>37</xdr:row>
      <xdr:rowOff>38100</xdr:rowOff>
    </xdr:to>
    <xdr:sp macro="" textlink="">
      <xdr:nvSpPr>
        <xdr:cNvPr id="54" name="Rectangle: Rounded Corners 53">
          <a:extLst>
            <a:ext uri="{FF2B5EF4-FFF2-40B4-BE49-F238E27FC236}">
              <a16:creationId xmlns:a16="http://schemas.microsoft.com/office/drawing/2014/main" id="{7CCA862A-FC78-48A8-8F00-2953A7A40471}"/>
            </a:ext>
          </a:extLst>
        </xdr:cNvPr>
        <xdr:cNvSpPr/>
      </xdr:nvSpPr>
      <xdr:spPr>
        <a:xfrm>
          <a:off x="6667500" y="3933825"/>
          <a:ext cx="4160520" cy="28003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260985</xdr:colOff>
      <xdr:row>15</xdr:row>
      <xdr:rowOff>60748</xdr:rowOff>
    </xdr:from>
    <xdr:to>
      <xdr:col>10</xdr:col>
      <xdr:colOff>485775</xdr:colOff>
      <xdr:row>25</xdr:row>
      <xdr:rowOff>123825</xdr:rowOff>
    </xdr:to>
    <xdr:graphicFrame macro="">
      <xdr:nvGraphicFramePr>
        <xdr:cNvPr id="55" name="Chart 54">
          <a:extLst>
            <a:ext uri="{FF2B5EF4-FFF2-40B4-BE49-F238E27FC236}">
              <a16:creationId xmlns:a16="http://schemas.microsoft.com/office/drawing/2014/main" id="{80B25E6D-C9C3-4798-ADBE-C8A97CE61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266699</xdr:colOff>
      <xdr:row>26</xdr:row>
      <xdr:rowOff>9525</xdr:rowOff>
    </xdr:from>
    <xdr:to>
      <xdr:col>10</xdr:col>
      <xdr:colOff>542924</xdr:colOff>
      <xdr:row>36</xdr:row>
      <xdr:rowOff>104774</xdr:rowOff>
    </xdr:to>
    <xdr:graphicFrame macro="">
      <xdr:nvGraphicFramePr>
        <xdr:cNvPr id="56" name="Chart 55">
          <a:extLst>
            <a:ext uri="{FF2B5EF4-FFF2-40B4-BE49-F238E27FC236}">
              <a16:creationId xmlns:a16="http://schemas.microsoft.com/office/drawing/2014/main" id="{BA068F44-62C2-42D9-BDFB-EBBFC97C3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466725</xdr:colOff>
      <xdr:row>6</xdr:row>
      <xdr:rowOff>6984</xdr:rowOff>
    </xdr:from>
    <xdr:to>
      <xdr:col>10</xdr:col>
      <xdr:colOff>247650</xdr:colOff>
      <xdr:row>14</xdr:row>
      <xdr:rowOff>104775</xdr:rowOff>
    </xdr:to>
    <xdr:graphicFrame macro="">
      <xdr:nvGraphicFramePr>
        <xdr:cNvPr id="57" name="Chart 56">
          <a:extLst>
            <a:ext uri="{FF2B5EF4-FFF2-40B4-BE49-F238E27FC236}">
              <a16:creationId xmlns:a16="http://schemas.microsoft.com/office/drawing/2014/main" id="{4ED0C815-2880-4594-9143-596C5C17B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xdr:colOff>
      <xdr:row>21</xdr:row>
      <xdr:rowOff>142874</xdr:rowOff>
    </xdr:from>
    <xdr:to>
      <xdr:col>17</xdr:col>
      <xdr:colOff>466725</xdr:colOff>
      <xdr:row>37</xdr:row>
      <xdr:rowOff>19050</xdr:rowOff>
    </xdr:to>
    <xdr:graphicFrame macro="">
      <xdr:nvGraphicFramePr>
        <xdr:cNvPr id="58" name="Chart 57">
          <a:extLst>
            <a:ext uri="{FF2B5EF4-FFF2-40B4-BE49-F238E27FC236}">
              <a16:creationId xmlns:a16="http://schemas.microsoft.com/office/drawing/2014/main" id="{53B12074-A0F4-4CBC-BD1D-031FF58F3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476251</xdr:colOff>
      <xdr:row>3</xdr:row>
      <xdr:rowOff>171450</xdr:rowOff>
    </xdr:from>
    <xdr:to>
      <xdr:col>8</xdr:col>
      <xdr:colOff>550547</xdr:colOff>
      <xdr:row>5</xdr:row>
      <xdr:rowOff>112395</xdr:rowOff>
    </xdr:to>
    <xdr:sp macro="" textlink="KPI!G6">
      <xdr:nvSpPr>
        <xdr:cNvPr id="63" name="TextBox 62">
          <a:extLst>
            <a:ext uri="{FF2B5EF4-FFF2-40B4-BE49-F238E27FC236}">
              <a16:creationId xmlns:a16="http://schemas.microsoft.com/office/drawing/2014/main" id="{BF8B4042-8151-4E4E-B769-7E72BEADC6C2}"/>
            </a:ext>
          </a:extLst>
        </xdr:cNvPr>
        <xdr:cNvSpPr txBox="1"/>
      </xdr:nvSpPr>
      <xdr:spPr>
        <a:xfrm>
          <a:off x="4133851" y="714375"/>
          <a:ext cx="1293496" cy="302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0EDA77-B50D-4DDA-883D-CC59FE5F89AA}" type="TxLink">
            <a:rPr lang="en-US" sz="1800" b="1" i="0" u="none" strike="noStrike" kern="1200">
              <a:solidFill>
                <a:srgbClr val="00B050"/>
              </a:solidFill>
              <a:latin typeface="Calibri"/>
              <a:ea typeface="Calibri"/>
              <a:cs typeface="Calibri"/>
            </a:rPr>
            <a:t>$40,146.63</a:t>
          </a:fld>
          <a:endParaRPr lang="en-US" sz="3600" b="1" kern="1200">
            <a:solidFill>
              <a:srgbClr val="00B050"/>
            </a:solidFill>
          </a:endParaRPr>
        </a:p>
      </xdr:txBody>
    </xdr:sp>
    <xdr:clientData/>
  </xdr:twoCellAnchor>
  <xdr:twoCellAnchor>
    <xdr:from>
      <xdr:col>13</xdr:col>
      <xdr:colOff>104771</xdr:colOff>
      <xdr:row>4</xdr:row>
      <xdr:rowOff>19050</xdr:rowOff>
    </xdr:from>
    <xdr:to>
      <xdr:col>15</xdr:col>
      <xdr:colOff>356231</xdr:colOff>
      <xdr:row>5</xdr:row>
      <xdr:rowOff>74930</xdr:rowOff>
    </xdr:to>
    <xdr:sp macro="" textlink="KPI!G7">
      <xdr:nvSpPr>
        <xdr:cNvPr id="64" name="TextBox 63">
          <a:extLst>
            <a:ext uri="{FF2B5EF4-FFF2-40B4-BE49-F238E27FC236}">
              <a16:creationId xmlns:a16="http://schemas.microsoft.com/office/drawing/2014/main" id="{5D4AB489-588F-4507-B414-15C7698C2B0D}"/>
            </a:ext>
          </a:extLst>
        </xdr:cNvPr>
        <xdr:cNvSpPr txBox="1"/>
      </xdr:nvSpPr>
      <xdr:spPr>
        <a:xfrm>
          <a:off x="8029571" y="742950"/>
          <a:ext cx="1470660" cy="236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4588D4-92C9-4011-B6B4-39D337BAD3C1}" type="TxLink">
            <a:rPr lang="en-US" sz="1600" b="1" i="0" u="none" strike="noStrike" kern="1200">
              <a:solidFill>
                <a:srgbClr val="00B050"/>
              </a:solidFill>
              <a:latin typeface="Calibri"/>
              <a:ea typeface="Calibri"/>
              <a:cs typeface="Calibri"/>
            </a:rPr>
            <a:t>12</a:t>
          </a:fld>
          <a:endParaRPr lang="en-US" sz="2000" b="1" kern="1200">
            <a:solidFill>
              <a:srgbClr val="00B050"/>
            </a:solidFill>
          </a:endParaRPr>
        </a:p>
      </xdr:txBody>
    </xdr:sp>
    <xdr:clientData/>
  </xdr:twoCellAnchor>
  <xdr:twoCellAnchor>
    <xdr:from>
      <xdr:col>0</xdr:col>
      <xdr:colOff>142875</xdr:colOff>
      <xdr:row>6</xdr:row>
      <xdr:rowOff>45083</xdr:rowOff>
    </xdr:from>
    <xdr:to>
      <xdr:col>4</xdr:col>
      <xdr:colOff>66675</xdr:colOff>
      <xdr:row>9</xdr:row>
      <xdr:rowOff>114300</xdr:rowOff>
    </xdr:to>
    <xdr:sp macro="" textlink="">
      <xdr:nvSpPr>
        <xdr:cNvPr id="65" name="TextBox 64">
          <a:extLst>
            <a:ext uri="{FF2B5EF4-FFF2-40B4-BE49-F238E27FC236}">
              <a16:creationId xmlns:a16="http://schemas.microsoft.com/office/drawing/2014/main" id="{D790F4A3-A344-4B3E-BEB8-01763FAE975A}"/>
            </a:ext>
          </a:extLst>
        </xdr:cNvPr>
        <xdr:cNvSpPr txBox="1"/>
      </xdr:nvSpPr>
      <xdr:spPr>
        <a:xfrm>
          <a:off x="142875" y="1130933"/>
          <a:ext cx="2362200" cy="61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kern="1200">
              <a:solidFill>
                <a:srgbClr val="7030A0"/>
              </a:solidFill>
            </a:rPr>
            <a:t>Select Regon, Category, Chanal and Salesperson.</a:t>
          </a:r>
        </a:p>
      </xdr:txBody>
    </xdr:sp>
    <xdr:clientData/>
  </xdr:twoCellAnchor>
  <xdr:twoCellAnchor editAs="oneCell">
    <xdr:from>
      <xdr:col>0</xdr:col>
      <xdr:colOff>163829</xdr:colOff>
      <xdr:row>9</xdr:row>
      <xdr:rowOff>57150</xdr:rowOff>
    </xdr:from>
    <xdr:to>
      <xdr:col>4</xdr:col>
      <xdr:colOff>76200</xdr:colOff>
      <xdr:row>17</xdr:row>
      <xdr:rowOff>9525</xdr:rowOff>
    </xdr:to>
    <mc:AlternateContent xmlns:mc="http://schemas.openxmlformats.org/markup-compatibility/2006">
      <mc:Choice xmlns:a14="http://schemas.microsoft.com/office/drawing/2010/main" Requires="a14">
        <xdr:graphicFrame macro="">
          <xdr:nvGraphicFramePr>
            <xdr:cNvPr id="66" name="Region">
              <a:extLst>
                <a:ext uri="{FF2B5EF4-FFF2-40B4-BE49-F238E27FC236}">
                  <a16:creationId xmlns:a16="http://schemas.microsoft.com/office/drawing/2014/main" id="{998BA87C-07E8-EF8C-DC18-0A69AB2A23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3829" y="1771650"/>
              <a:ext cx="2350771"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186689</xdr:colOff>
      <xdr:row>22</xdr:row>
      <xdr:rowOff>70485</xdr:rowOff>
    </xdr:from>
    <xdr:to>
      <xdr:col>4</xdr:col>
      <xdr:colOff>76200</xdr:colOff>
      <xdr:row>30</xdr:row>
      <xdr:rowOff>47624</xdr:rowOff>
    </xdr:to>
    <mc:AlternateContent xmlns:mc="http://schemas.openxmlformats.org/markup-compatibility/2006">
      <mc:Choice xmlns:a14="http://schemas.microsoft.com/office/drawing/2010/main" Requires="a14">
        <xdr:graphicFrame macro="">
          <xdr:nvGraphicFramePr>
            <xdr:cNvPr id="67" name="Salesperson">
              <a:extLst>
                <a:ext uri="{FF2B5EF4-FFF2-40B4-BE49-F238E27FC236}">
                  <a16:creationId xmlns:a16="http://schemas.microsoft.com/office/drawing/2014/main" id="{3EC5055F-5B26-FB53-A4DE-D2D57A7CE71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86689" y="4261485"/>
              <a:ext cx="2327911"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190499</xdr:colOff>
      <xdr:row>30</xdr:row>
      <xdr:rowOff>74296</xdr:rowOff>
    </xdr:from>
    <xdr:to>
      <xdr:col>4</xdr:col>
      <xdr:colOff>66674</xdr:colOff>
      <xdr:row>36</xdr:row>
      <xdr:rowOff>28576</xdr:rowOff>
    </xdr:to>
    <mc:AlternateContent xmlns:mc="http://schemas.openxmlformats.org/markup-compatibility/2006">
      <mc:Choice xmlns:a14="http://schemas.microsoft.com/office/drawing/2010/main" Requires="a14">
        <xdr:graphicFrame macro="">
          <xdr:nvGraphicFramePr>
            <xdr:cNvPr id="68" name="Channel">
              <a:extLst>
                <a:ext uri="{FF2B5EF4-FFF2-40B4-BE49-F238E27FC236}">
                  <a16:creationId xmlns:a16="http://schemas.microsoft.com/office/drawing/2014/main" id="{34CD2195-8BE8-F52E-EA1B-8353BA6ED6D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90499" y="5789296"/>
              <a:ext cx="2314575"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165734</xdr:colOff>
      <xdr:row>17</xdr:row>
      <xdr:rowOff>30481</xdr:rowOff>
    </xdr:from>
    <xdr:to>
      <xdr:col>4</xdr:col>
      <xdr:colOff>76200</xdr:colOff>
      <xdr:row>22</xdr:row>
      <xdr:rowOff>47626</xdr:rowOff>
    </xdr:to>
    <mc:AlternateContent xmlns:mc="http://schemas.openxmlformats.org/markup-compatibility/2006">
      <mc:Choice xmlns:a14="http://schemas.microsoft.com/office/drawing/2010/main" Requires="a14">
        <xdr:graphicFrame macro="">
          <xdr:nvGraphicFramePr>
            <xdr:cNvPr id="69" name="Category">
              <a:extLst>
                <a:ext uri="{FF2B5EF4-FFF2-40B4-BE49-F238E27FC236}">
                  <a16:creationId xmlns:a16="http://schemas.microsoft.com/office/drawing/2014/main" id="{DB97A0C6-2C5A-9A4A-8E4C-4B6975E0B0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5734" y="3268981"/>
              <a:ext cx="2348866" cy="969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Qsa" refreshedDate="46043.696422106485" createdVersion="8" refreshedVersion="8" minRefreshableVersion="3" recordCount="12" xr:uid="{2FF623CF-F1A6-4943-BE95-9BE6303D2AB6}">
  <cacheSource type="worksheet">
    <worksheetSource name="Table1"/>
  </cacheSource>
  <cacheFields count="19">
    <cacheField name="OrderID" numFmtId="0">
      <sharedItems containsSemiMixedTypes="0" containsString="0" containsNumber="1" containsInteger="1" minValue="2001" maxValue="2012"/>
    </cacheField>
    <cacheField name="OrderDate" numFmtId="14">
      <sharedItems containsSemiMixedTypes="0" containsNonDate="0" containsDate="1" containsString="0" minDate="2025-01-01T00:00:00" maxDate="2025-12-02T00:00:00"/>
    </cacheField>
    <cacheField name="Region" numFmtId="0">
      <sharedItems count="4">
        <s v="East"/>
        <s v="West"/>
        <s v="North"/>
        <s v="South"/>
      </sharedItems>
    </cacheField>
    <cacheField name="Country" numFmtId="0">
      <sharedItems count="3">
        <s v="Egypt"/>
        <s v="KSA"/>
        <s v="UAE"/>
      </sharedItems>
    </cacheField>
    <cacheField name="City" numFmtId="0">
      <sharedItems/>
    </cacheField>
    <cacheField name="Salesperson" numFmtId="0">
      <sharedItems count="5">
        <s v="Ahmed"/>
        <s v="Sara"/>
        <s v="Mona"/>
        <s v="Omar"/>
        <s v="Lina"/>
      </sharedItems>
    </cacheField>
    <cacheField name="Channel" numFmtId="0">
      <sharedItems count="3">
        <s v="Online"/>
        <s v="Retail"/>
        <s v="Distributor"/>
      </sharedItems>
    </cacheField>
    <cacheField name="Product" numFmtId="0">
      <sharedItems/>
    </cacheField>
    <cacheField name="Category" numFmtId="0">
      <sharedItems count="2">
        <s v="Electronics"/>
        <s v="Accessories"/>
      </sharedItems>
    </cacheField>
    <cacheField name="UnitsSold" numFmtId="0">
      <sharedItems containsSemiMixedTypes="0" containsString="0" containsNumber="1" containsInteger="1" minValue="1" maxValue="15"/>
    </cacheField>
    <cacheField name="UnitPrice" numFmtId="0">
      <sharedItems containsSemiMixedTypes="0" containsString="0" containsNumber="1" containsInteger="1" minValue="240" maxValue="21000"/>
    </cacheField>
    <cacheField name="Discount" numFmtId="9">
      <sharedItems containsSemiMixedTypes="0" containsString="0" containsNumber="1" minValue="0" maxValue="0.1"/>
    </cacheField>
    <cacheField name="Gross Sales" numFmtId="0">
      <sharedItems containsSemiMixedTypes="0" containsString="0" containsNumber="1" containsInteger="1" minValue="2880" maxValue="39000"/>
    </cacheField>
    <cacheField name="Discount Amount" numFmtId="0">
      <sharedItems containsSemiMixedTypes="0" containsString="0" containsNumber="1" minValue="0" maxValue="3900"/>
    </cacheField>
    <cacheField name="Net Sales" numFmtId="0">
      <sharedItems containsSemiMixedTypes="0" containsString="0" containsNumber="1" minValue="2592" maxValue="35150"/>
    </cacheField>
    <cacheField name="Order Month" numFmtId="0">
      <sharedItems count="12">
        <s v="January"/>
        <s v="February"/>
        <s v="March"/>
        <s v="April"/>
        <s v="May"/>
        <s v="June"/>
        <s v="July"/>
        <s v="August"/>
        <s v="September"/>
        <s v="October"/>
        <s v="November"/>
        <s v="December"/>
      </sharedItems>
    </cacheField>
    <cacheField name="Order Quarter" numFmtId="0">
      <sharedItems count="4">
        <s v="Q1"/>
        <s v="Q2"/>
        <s v="Q3"/>
        <s v="Q4"/>
      </sharedItems>
    </cacheField>
    <cacheField name="Sales Band" numFmtId="0">
      <sharedItems count="3">
        <s v="High"/>
        <s v="Low"/>
        <s v="Medium"/>
      </sharedItems>
    </cacheField>
    <cacheField name="Profit (Assume fixed margin)" numFmtId="0">
      <sharedItems containsSemiMixedTypes="0" containsString="0" containsNumber="1" minValue="907.19999999999993" maxValue="7030"/>
    </cacheField>
  </cacheFields>
  <extLst>
    <ext xmlns:x14="http://schemas.microsoft.com/office/spreadsheetml/2009/9/main" uri="{725AE2AE-9491-48be-B2B4-4EB974FC3084}">
      <x14:pivotCacheDefinition pivotCacheId="1584183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2001"/>
    <d v="2025-01-01T00:00:00"/>
    <x v="0"/>
    <x v="0"/>
    <s v="Cairo"/>
    <x v="0"/>
    <x v="0"/>
    <s v="Laptop"/>
    <x v="0"/>
    <n v="2"/>
    <n v="18500"/>
    <n v="0.05"/>
    <n v="37000"/>
    <n v="1850"/>
    <n v="35150"/>
    <x v="0"/>
    <x v="0"/>
    <x v="0"/>
    <n v="7030"/>
  </r>
  <r>
    <n v="2002"/>
    <d v="2025-02-01T00:00:00"/>
    <x v="1"/>
    <x v="0"/>
    <s v="Alex"/>
    <x v="1"/>
    <x v="1"/>
    <s v="Mouse"/>
    <x v="1"/>
    <n v="12"/>
    <n v="260"/>
    <n v="0"/>
    <n v="3120"/>
    <n v="0"/>
    <n v="3120"/>
    <x v="1"/>
    <x v="0"/>
    <x v="1"/>
    <n v="1092"/>
  </r>
  <r>
    <n v="2003"/>
    <d v="2025-03-01T00:00:00"/>
    <x v="0"/>
    <x v="0"/>
    <s v="Cairo"/>
    <x v="2"/>
    <x v="0"/>
    <s v="Keyboard"/>
    <x v="1"/>
    <n v="6"/>
    <n v="480"/>
    <n v="0.1"/>
    <n v="2880"/>
    <n v="288"/>
    <n v="2592"/>
    <x v="2"/>
    <x v="0"/>
    <x v="1"/>
    <n v="907.19999999999993"/>
  </r>
  <r>
    <n v="2004"/>
    <d v="2025-04-01T00:00:00"/>
    <x v="2"/>
    <x v="1"/>
    <s v="Riyadh"/>
    <x v="3"/>
    <x v="2"/>
    <s v="Laptop"/>
    <x v="0"/>
    <n v="1"/>
    <n v="21000"/>
    <n v="7.0000000000000007E-2"/>
    <n v="21000"/>
    <n v="1470.0000000000002"/>
    <n v="19530"/>
    <x v="3"/>
    <x v="1"/>
    <x v="2"/>
    <n v="3906"/>
  </r>
  <r>
    <n v="2005"/>
    <d v="2025-05-01T00:00:00"/>
    <x v="3"/>
    <x v="2"/>
    <s v="Dubai"/>
    <x v="4"/>
    <x v="1"/>
    <s v="Monitor"/>
    <x v="0"/>
    <n v="3"/>
    <n v="6200"/>
    <n v="0.05"/>
    <n v="18600"/>
    <n v="930"/>
    <n v="17670"/>
    <x v="4"/>
    <x v="1"/>
    <x v="2"/>
    <n v="3534"/>
  </r>
  <r>
    <n v="2006"/>
    <d v="2025-06-01T00:00:00"/>
    <x v="1"/>
    <x v="0"/>
    <s v="Alex"/>
    <x v="1"/>
    <x v="0"/>
    <s v="Laptop"/>
    <x v="0"/>
    <n v="2"/>
    <n v="17800"/>
    <n v="0.03"/>
    <n v="35600"/>
    <n v="1068"/>
    <n v="34532"/>
    <x v="5"/>
    <x v="1"/>
    <x v="0"/>
    <n v="6906.4000000000005"/>
  </r>
  <r>
    <n v="2007"/>
    <d v="2025-07-01T00:00:00"/>
    <x v="0"/>
    <x v="0"/>
    <s v="Giza"/>
    <x v="0"/>
    <x v="1"/>
    <s v="Mouse"/>
    <x v="1"/>
    <n v="15"/>
    <n v="240"/>
    <n v="0"/>
    <n v="3600"/>
    <n v="0"/>
    <n v="3600"/>
    <x v="6"/>
    <x v="2"/>
    <x v="1"/>
    <n v="1260"/>
  </r>
  <r>
    <n v="2008"/>
    <d v="2025-08-01T00:00:00"/>
    <x v="2"/>
    <x v="1"/>
    <s v="Jeddah"/>
    <x v="3"/>
    <x v="2"/>
    <s v="Monitor"/>
    <x v="0"/>
    <n v="2"/>
    <n v="6700"/>
    <n v="0.08"/>
    <n v="13400"/>
    <n v="1072"/>
    <n v="12328"/>
    <x v="7"/>
    <x v="2"/>
    <x v="2"/>
    <n v="2465.6000000000004"/>
  </r>
  <r>
    <n v="2009"/>
    <d v="2025-09-01T00:00:00"/>
    <x v="3"/>
    <x v="2"/>
    <s v="Abu Dhabi"/>
    <x v="4"/>
    <x v="0"/>
    <s v="Keyboard"/>
    <x v="1"/>
    <n v="7"/>
    <n v="500"/>
    <n v="0.05"/>
    <n v="3500"/>
    <n v="175"/>
    <n v="3325"/>
    <x v="8"/>
    <x v="2"/>
    <x v="1"/>
    <n v="1163.75"/>
  </r>
  <r>
    <n v="2010"/>
    <d v="2025-10-01T00:00:00"/>
    <x v="0"/>
    <x v="0"/>
    <s v="Cairo"/>
    <x v="2"/>
    <x v="1"/>
    <s v="Laptop"/>
    <x v="0"/>
    <n v="1"/>
    <n v="19000"/>
    <n v="0.06"/>
    <n v="19000"/>
    <n v="1140"/>
    <n v="17860"/>
    <x v="9"/>
    <x v="3"/>
    <x v="2"/>
    <n v="3572"/>
  </r>
  <r>
    <n v="2011"/>
    <d v="2025-11-01T00:00:00"/>
    <x v="1"/>
    <x v="0"/>
    <s v="Tanta"/>
    <x v="1"/>
    <x v="1"/>
    <s v="Keyboard"/>
    <x v="1"/>
    <n v="8"/>
    <n v="470"/>
    <n v="0.02"/>
    <n v="3760"/>
    <n v="75.2"/>
    <n v="3684.8"/>
    <x v="10"/>
    <x v="3"/>
    <x v="1"/>
    <n v="1289.68"/>
  </r>
  <r>
    <n v="2012"/>
    <d v="2025-12-01T00:00:00"/>
    <x v="3"/>
    <x v="2"/>
    <s v="Dubai"/>
    <x v="4"/>
    <x v="2"/>
    <s v="Laptop"/>
    <x v="0"/>
    <n v="2"/>
    <n v="19500"/>
    <n v="0.1"/>
    <n v="39000"/>
    <n v="3900"/>
    <n v="35100"/>
    <x v="11"/>
    <x v="3"/>
    <x v="0"/>
    <n v="70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D9A183-3203-4F81-B58E-7CAEF66A2B59}"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9" firstHeaderRow="1" firstDataRow="2" firstDataCol="1"/>
  <pivotFields count="19">
    <pivotField showAll="0"/>
    <pivotField numFmtId="14" showAll="0"/>
    <pivotField axis="axisRow" showAll="0">
      <items count="5">
        <item x="0"/>
        <item x="2"/>
        <item x="3"/>
        <item x="1"/>
        <item t="default"/>
      </items>
    </pivotField>
    <pivotField showAll="0"/>
    <pivotField showAll="0"/>
    <pivotField showAll="0">
      <items count="6">
        <item x="0"/>
        <item x="4"/>
        <item x="2"/>
        <item x="3"/>
        <item x="1"/>
        <item t="default"/>
      </items>
    </pivotField>
    <pivotField axis="axisCol" showAll="0">
      <items count="4">
        <item x="2"/>
        <item x="0"/>
        <item x="1"/>
        <item t="default"/>
      </items>
    </pivotField>
    <pivotField showAll="0"/>
    <pivotField showAll="0">
      <items count="3">
        <item x="1"/>
        <item x="0"/>
        <item t="default"/>
      </items>
    </pivotField>
    <pivotField showAll="0"/>
    <pivotField showAll="0"/>
    <pivotField numFmtId="9" showAll="0"/>
    <pivotField showAll="0"/>
    <pivotField showAll="0"/>
    <pivotField dataField="1" showAll="0"/>
    <pivotField showAll="0"/>
    <pivotField showAll="0"/>
    <pivotField showAll="0"/>
    <pivotField showAll="0"/>
  </pivotFields>
  <rowFields count="1">
    <field x="2"/>
  </rowFields>
  <rowItems count="5">
    <i>
      <x/>
    </i>
    <i>
      <x v="1"/>
    </i>
    <i>
      <x v="2"/>
    </i>
    <i>
      <x v="3"/>
    </i>
    <i t="grand">
      <x/>
    </i>
  </rowItems>
  <colFields count="1">
    <field x="6"/>
  </colFields>
  <colItems count="4">
    <i>
      <x/>
    </i>
    <i>
      <x v="1"/>
    </i>
    <i>
      <x v="2"/>
    </i>
    <i t="grand">
      <x/>
    </i>
  </colItems>
  <dataFields count="1">
    <dataField name="Sum of Net Sales" fld="14"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4" format="6" series="1">
      <pivotArea type="data" outline="0" fieldPosition="0">
        <references count="2">
          <reference field="4294967294" count="1" selected="0">
            <x v="0"/>
          </reference>
          <reference field="6" count="1" selected="0">
            <x v="0"/>
          </reference>
        </references>
      </pivotArea>
    </chartFormat>
    <chartFormat chart="4" format="7"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598C8-3E0C-4EB3-9895-7AED355360BB}"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9">
    <pivotField showAll="0"/>
    <pivotField numFmtId="14" showAll="0"/>
    <pivotField showAll="0">
      <items count="5">
        <item x="0"/>
        <item x="2"/>
        <item x="3"/>
        <item x="1"/>
        <item t="default"/>
      </items>
    </pivotField>
    <pivotField showAll="0"/>
    <pivotField showAll="0"/>
    <pivotField showAll="0">
      <items count="6">
        <item x="0"/>
        <item x="4"/>
        <item x="2"/>
        <item x="3"/>
        <item x="1"/>
        <item t="default"/>
      </items>
    </pivotField>
    <pivotField showAll="0">
      <items count="4">
        <item x="2"/>
        <item x="0"/>
        <item x="1"/>
        <item t="default"/>
      </items>
    </pivotField>
    <pivotField showAll="0"/>
    <pivotField axis="axisRow" showAll="0">
      <items count="3">
        <item x="1"/>
        <item x="0"/>
        <item t="default"/>
      </items>
    </pivotField>
    <pivotField showAll="0"/>
    <pivotField showAll="0"/>
    <pivotField numFmtId="9" showAll="0"/>
    <pivotField showAll="0"/>
    <pivotField showAll="0"/>
    <pivotField showAll="0"/>
    <pivotField showAll="0"/>
    <pivotField showAll="0"/>
    <pivotField showAll="0"/>
    <pivotField dataField="1" showAll="0"/>
  </pivotFields>
  <rowFields count="1">
    <field x="8"/>
  </rowFields>
  <rowItems count="3">
    <i>
      <x/>
    </i>
    <i>
      <x v="1"/>
    </i>
    <i t="grand">
      <x/>
    </i>
  </rowItems>
  <colItems count="1">
    <i/>
  </colItems>
  <dataFields count="1">
    <dataField name="Sum of Profit (Assume fixed margin)" fld="1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E6C422-6FFE-4EB0-A72A-26068BFE4BD8}"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C10" firstHeaderRow="0" firstDataRow="1" firstDataCol="1" rowPageCount="2" colPageCount="1"/>
  <pivotFields count="19">
    <pivotField showAll="0"/>
    <pivotField numFmtId="14" showAll="0"/>
    <pivotField showAll="0">
      <items count="5">
        <item x="0"/>
        <item x="2"/>
        <item x="3"/>
        <item x="1"/>
        <item t="default"/>
      </items>
    </pivotField>
    <pivotField axis="axisPage" showAll="0">
      <items count="4">
        <item x="0"/>
        <item x="1"/>
        <item x="2"/>
        <item t="default"/>
      </items>
    </pivotField>
    <pivotField showAll="0"/>
    <pivotField axis="axisRow" showAll="0">
      <items count="6">
        <item x="0"/>
        <item x="4"/>
        <item x="2"/>
        <item x="3"/>
        <item x="1"/>
        <item t="default"/>
      </items>
    </pivotField>
    <pivotField axis="axisPage" showAll="0">
      <items count="4">
        <item x="2"/>
        <item x="0"/>
        <item x="1"/>
        <item t="default"/>
      </items>
    </pivotField>
    <pivotField showAll="0"/>
    <pivotField showAll="0">
      <items count="3">
        <item x="1"/>
        <item x="0"/>
        <item t="default"/>
      </items>
    </pivotField>
    <pivotField showAll="0"/>
    <pivotField showAll="0"/>
    <pivotField numFmtId="9" showAll="0"/>
    <pivotField showAll="0"/>
    <pivotField showAll="0"/>
    <pivotField dataField="1" showAll="0"/>
    <pivotField showAll="0"/>
    <pivotField showAll="0"/>
    <pivotField showAll="0"/>
    <pivotField dataField="1" showAll="0"/>
  </pivotFields>
  <rowFields count="1">
    <field x="5"/>
  </rowFields>
  <rowItems count="6">
    <i>
      <x/>
    </i>
    <i>
      <x v="1"/>
    </i>
    <i>
      <x v="2"/>
    </i>
    <i>
      <x v="3"/>
    </i>
    <i>
      <x v="4"/>
    </i>
    <i t="grand">
      <x/>
    </i>
  </rowItems>
  <colFields count="1">
    <field x="-2"/>
  </colFields>
  <colItems count="2">
    <i>
      <x/>
    </i>
    <i i="1">
      <x v="1"/>
    </i>
  </colItems>
  <pageFields count="2">
    <pageField fld="6" hier="-1"/>
    <pageField fld="3" hier="-1"/>
  </pageFields>
  <dataFields count="2">
    <dataField name="Sum of Net Sales" fld="14" baseField="0" baseItem="0"/>
    <dataField name="Sum of Profit (Assume fixed margin)"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88A2FF-AECC-45EE-92EF-9BCFCDA1FC6A}"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rowPageCount="1" colPageCount="1"/>
  <pivotFields count="19">
    <pivotField showAll="0"/>
    <pivotField numFmtId="14" showAll="0"/>
    <pivotField showAll="0">
      <items count="5">
        <item x="0"/>
        <item x="2"/>
        <item x="3"/>
        <item x="1"/>
        <item t="default"/>
      </items>
    </pivotField>
    <pivotField showAll="0"/>
    <pivotField showAll="0"/>
    <pivotField showAll="0">
      <items count="6">
        <item x="0"/>
        <item x="4"/>
        <item x="2"/>
        <item x="3"/>
        <item x="1"/>
        <item t="default"/>
      </items>
    </pivotField>
    <pivotField showAll="0">
      <items count="4">
        <item x="2"/>
        <item x="0"/>
        <item x="1"/>
        <item t="default"/>
      </items>
    </pivotField>
    <pivotField showAll="0"/>
    <pivotField showAll="0">
      <items count="3">
        <item x="1"/>
        <item x="0"/>
        <item t="default"/>
      </items>
    </pivotField>
    <pivotField showAll="0"/>
    <pivotField showAll="0"/>
    <pivotField numFmtId="9" showAll="0"/>
    <pivotField showAll="0"/>
    <pivotField showAll="0"/>
    <pivotField dataField="1" showAll="0"/>
    <pivotField axis="axisRow" showAll="0">
      <items count="13">
        <item x="0"/>
        <item x="1"/>
        <item x="2"/>
        <item x="3"/>
        <item x="4"/>
        <item x="5"/>
        <item x="6"/>
        <item x="7"/>
        <item x="8"/>
        <item x="9"/>
        <item x="10"/>
        <item x="11"/>
        <item t="default"/>
      </items>
    </pivotField>
    <pivotField axis="axisPage" showAll="0">
      <items count="5">
        <item x="0"/>
        <item x="1"/>
        <item x="2"/>
        <item x="3"/>
        <item t="default"/>
      </items>
    </pivotField>
    <pivotField showAll="0"/>
    <pivotField showAll="0"/>
  </pivotFields>
  <rowFields count="1">
    <field x="15"/>
  </rowFields>
  <rowItems count="13">
    <i>
      <x/>
    </i>
    <i>
      <x v="1"/>
    </i>
    <i>
      <x v="2"/>
    </i>
    <i>
      <x v="3"/>
    </i>
    <i>
      <x v="4"/>
    </i>
    <i>
      <x v="5"/>
    </i>
    <i>
      <x v="6"/>
    </i>
    <i>
      <x v="7"/>
    </i>
    <i>
      <x v="8"/>
    </i>
    <i>
      <x v="9"/>
    </i>
    <i>
      <x v="10"/>
    </i>
    <i>
      <x v="11"/>
    </i>
    <i t="grand">
      <x/>
    </i>
  </rowItems>
  <colItems count="1">
    <i/>
  </colItems>
  <pageFields count="1">
    <pageField fld="16" hier="-1"/>
  </pageFields>
  <dataFields count="1">
    <dataField name="Sum of Net Sales" fld="1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E0F517-27E0-4D37-A60D-270B0882B7B2}"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19">
    <pivotField dataField="1" showAll="0"/>
    <pivotField numFmtId="14" showAll="0"/>
    <pivotField showAll="0">
      <items count="5">
        <item x="0"/>
        <item x="2"/>
        <item x="3"/>
        <item x="1"/>
        <item t="default"/>
      </items>
    </pivotField>
    <pivotField showAll="0"/>
    <pivotField showAll="0"/>
    <pivotField showAll="0">
      <items count="6">
        <item x="0"/>
        <item x="4"/>
        <item x="2"/>
        <item x="3"/>
        <item x="1"/>
        <item t="default"/>
      </items>
    </pivotField>
    <pivotField showAll="0">
      <items count="4">
        <item x="2"/>
        <item x="0"/>
        <item x="1"/>
        <item t="default"/>
      </items>
    </pivotField>
    <pivotField showAll="0"/>
    <pivotField showAll="0">
      <items count="3">
        <item x="1"/>
        <item x="0"/>
        <item t="default"/>
      </items>
    </pivotField>
    <pivotField showAll="0"/>
    <pivotField showAll="0"/>
    <pivotField numFmtId="9" showAll="0"/>
    <pivotField showAll="0"/>
    <pivotField showAll="0"/>
    <pivotField dataField="1" showAll="0"/>
    <pivotField showAll="0"/>
    <pivotField showAll="0"/>
    <pivotField axis="axisRow" showAll="0">
      <items count="4">
        <item x="0"/>
        <item x="1"/>
        <item x="2"/>
        <item t="default"/>
      </items>
    </pivotField>
    <pivotField showAll="0"/>
  </pivotFields>
  <rowFields count="1">
    <field x="17"/>
  </rowFields>
  <rowItems count="4">
    <i>
      <x/>
    </i>
    <i>
      <x v="1"/>
    </i>
    <i>
      <x v="2"/>
    </i>
    <i t="grand">
      <x/>
    </i>
  </rowItems>
  <colFields count="1">
    <field x="-2"/>
  </colFields>
  <colItems count="2">
    <i>
      <x/>
    </i>
    <i i="1">
      <x v="1"/>
    </i>
  </colItems>
  <dataFields count="2">
    <dataField name="Count of OrderID" fld="0" subtotal="count" baseField="17" baseItem="0"/>
    <dataField name="Sum of Net Sales"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2E5F11-E335-40AF-98D4-88370E4E4490}"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9">
    <pivotField dataField="1" showAll="0"/>
    <pivotField numFmtId="14" showAll="0"/>
    <pivotField showAll="0">
      <items count="5">
        <item x="0"/>
        <item x="2"/>
        <item x="3"/>
        <item x="1"/>
        <item t="default"/>
      </items>
    </pivotField>
    <pivotField showAll="0"/>
    <pivotField showAll="0"/>
    <pivotField showAll="0">
      <items count="6">
        <item x="0"/>
        <item x="4"/>
        <item x="2"/>
        <item x="3"/>
        <item x="1"/>
        <item t="default"/>
      </items>
    </pivotField>
    <pivotField showAll="0">
      <items count="4">
        <item x="2"/>
        <item x="0"/>
        <item x="1"/>
        <item t="default"/>
      </items>
    </pivotField>
    <pivotField showAll="0"/>
    <pivotField showAll="0">
      <items count="3">
        <item x="1"/>
        <item x="0"/>
        <item t="default"/>
      </items>
    </pivotField>
    <pivotField showAll="0"/>
    <pivotField showAll="0"/>
    <pivotField numFmtId="9" showAll="0"/>
    <pivotField showAll="0"/>
    <pivotField showAll="0"/>
    <pivotField dataField="1" showAll="0"/>
    <pivotField showAll="0"/>
    <pivotField showAll="0"/>
    <pivotField showAll="0"/>
    <pivotField dataField="1" showAll="0"/>
  </pivotFields>
  <rowItems count="1">
    <i/>
  </rowItems>
  <colFields count="1">
    <field x="-2"/>
  </colFields>
  <colItems count="3">
    <i>
      <x/>
    </i>
    <i i="1">
      <x v="1"/>
    </i>
    <i i="2">
      <x v="2"/>
    </i>
  </colItems>
  <dataFields count="3">
    <dataField name="Sum of Net Sales" fld="14" baseField="0" baseItem="0"/>
    <dataField name="Sum of Profit (Assume fixed margin)" fld="18" baseField="0" baseItem="0"/>
    <dataField name="Count of Order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EE4A87-7363-461C-9663-E61DBCA54F25}" sourceName="Region">
  <pivotTables>
    <pivotTable tabId="5" name="PivotTable3"/>
    <pivotTable tabId="8" name="PivotTable6"/>
    <pivotTable tabId="6" name="PivotTable4"/>
    <pivotTable tabId="2" name="PivotTable1"/>
    <pivotTable tabId="4" name="PivotTable2"/>
    <pivotTable tabId="7" name="PivotTable5"/>
  </pivotTables>
  <data>
    <tabular pivotCacheId="158418301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AE68DDD-2C74-4696-B4CF-78E0B4742CFD}" sourceName="Salesperson">
  <pivotTables>
    <pivotTable tabId="5" name="PivotTable3"/>
    <pivotTable tabId="8" name="PivotTable6"/>
    <pivotTable tabId="6" name="PivotTable4"/>
    <pivotTable tabId="2" name="PivotTable1"/>
    <pivotTable tabId="4" name="PivotTable2"/>
    <pivotTable tabId="7" name="PivotTable5"/>
  </pivotTables>
  <data>
    <tabular pivotCacheId="1584183019">
      <items count="5">
        <i x="0" s="1"/>
        <i x="4"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BA4309D-36D5-46BB-8283-ED7970FA587F}" sourceName="Channel">
  <pivotTables>
    <pivotTable tabId="5" name="PivotTable3"/>
    <pivotTable tabId="8" name="PivotTable6"/>
    <pivotTable tabId="6" name="PivotTable4"/>
    <pivotTable tabId="2" name="PivotTable1"/>
    <pivotTable tabId="4" name="PivotTable2"/>
    <pivotTable tabId="7" name="PivotTable5"/>
  </pivotTables>
  <data>
    <tabular pivotCacheId="158418301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24B745-7386-4638-95A4-3190012C2E90}" sourceName="Category">
  <pivotTables>
    <pivotTable tabId="5" name="PivotTable3"/>
    <pivotTable tabId="8" name="PivotTable6"/>
    <pivotTable tabId="6" name="PivotTable4"/>
    <pivotTable tabId="2" name="PivotTable1"/>
    <pivotTable tabId="4" name="PivotTable2"/>
    <pivotTable tabId="7" name="PivotTable5"/>
  </pivotTables>
  <data>
    <tabular pivotCacheId="15841830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488916-3D79-4F10-9F39-2F75AAF7EE47}" cache="Slicer_Region" caption="Region" rowHeight="234950"/>
  <slicer name="Salesperson" xr10:uid="{DBD8C462-8D1D-417A-859F-01C5646456C7}" cache="Slicer_Salesperson" caption="Salesperson" rowHeight="234950"/>
  <slicer name="Channel" xr10:uid="{8FD8BB76-266A-46D4-AF93-0E73577AD245}" cache="Slicer_Channel" caption="Channel" rowHeight="234950"/>
  <slicer name="Category" xr10:uid="{9EEF7A0C-18AB-4C17-BFAD-244F83824619}"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03A90C-E932-493C-957F-8D93D7277FAB}" name="Table1" displayName="Table1" ref="A1:S13" totalsRowShown="0" headerRowDxfId="1" dataDxfId="0">
  <autoFilter ref="A1:S13" xr:uid="{1003A90C-E932-493C-957F-8D93D7277FAB}"/>
  <tableColumns count="19">
    <tableColumn id="1" xr3:uid="{552AAC59-D383-4718-AF5E-89BBCBDC1D2D}" name="OrderID" dataDxfId="20"/>
    <tableColumn id="2" xr3:uid="{8FC13D59-F541-4D3B-B7EF-0555A84F997D}" name="OrderDate" dataDxfId="19"/>
    <tableColumn id="3" xr3:uid="{988E8EC6-8FCF-43AD-9A9D-AD64609295AF}" name="Region" dataDxfId="18"/>
    <tableColumn id="4" xr3:uid="{39BB7257-529F-4591-A643-AB4FB19F0009}" name="Country" dataDxfId="17"/>
    <tableColumn id="5" xr3:uid="{AEEC867A-3BA9-4390-82C9-20FA2EE804ED}" name="City" dataDxfId="16"/>
    <tableColumn id="6" xr3:uid="{D4DEA1F3-A80C-4ADC-9F75-9E4D3CEB1647}" name="Salesperson" dataDxfId="15"/>
    <tableColumn id="7" xr3:uid="{70A88CAF-3348-493D-8B41-DC989CD3AFA1}" name="Channel" dataDxfId="14"/>
    <tableColumn id="8" xr3:uid="{D74957CA-A4B0-4612-8F21-A971804A1FEA}" name="Product" dataDxfId="13"/>
    <tableColumn id="9" xr3:uid="{30B93982-8124-4078-B49F-FC177B4865DE}" name="Category" dataDxfId="12"/>
    <tableColumn id="10" xr3:uid="{EFD37E92-77F1-41AD-BD6B-0E12A4BAC860}" name="UnitsSold" dataDxfId="11"/>
    <tableColumn id="11" xr3:uid="{8DE3F85C-D79C-44F9-8E41-2904C0860746}" name="UnitPrice" dataDxfId="10"/>
    <tableColumn id="12" xr3:uid="{009351F7-D2F8-4202-BFD2-676C4E389D65}" name="Discount" dataDxfId="9"/>
    <tableColumn id="13" xr3:uid="{7C73E44F-45BB-4B24-9A27-0726DD4F54A3}" name="Gross Sales" dataDxfId="8">
      <calculatedColumnFormula>J2*K2</calculatedColumnFormula>
    </tableColumn>
    <tableColumn id="14" xr3:uid="{1D781FA6-8F1B-4346-AB33-25AACA99B230}" name="Discount Amount" dataDxfId="7">
      <calculatedColumnFormula>L2*M2</calculatedColumnFormula>
    </tableColumn>
    <tableColumn id="15" xr3:uid="{5463404F-7F41-4BA8-BE71-ABBAF1046D20}" name="Net Sales" dataDxfId="6">
      <calculatedColumnFormula>M2-N2</calculatedColumnFormula>
    </tableColumn>
    <tableColumn id="16" xr3:uid="{E40810C0-8058-46F1-A610-79259207A757}" name="Order Month" dataDxfId="5">
      <calculatedColumnFormula>TEXT(B2,"mmmm")</calculatedColumnFormula>
    </tableColumn>
    <tableColumn id="17" xr3:uid="{A6E390FE-698F-4ED8-A42D-CEAD6E913133}" name="Order Quarter" dataDxfId="4">
      <calculatedColumnFormula>"Q"&amp;ROUNDUP(MONTH(B2)/3,0)</calculatedColumnFormula>
    </tableColumn>
    <tableColumn id="18" xr3:uid="{6DD9C1E0-A424-4A39-81A9-452B8DD3C039}" name="Sales Band" dataDxfId="3">
      <calculatedColumnFormula>IF(O2&gt;=30000,"High",IF(O2&gt;=10000,"Medium","Low"))</calculatedColumnFormula>
    </tableColumn>
    <tableColumn id="19" xr3:uid="{239AF059-2CF8-49D8-A2C0-1A7473208BE6}" name="Profit (Assume fixed margin)" dataDxfId="2">
      <calculatedColumnFormula>IF(I2="Electronics",O2*20%,IF(I2="Accessories",O2*35%,0))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D45B-4569-40A2-9E48-9A6B259E0A6F}">
  <dimension ref="A1:L13"/>
  <sheetViews>
    <sheetView workbookViewId="0">
      <selection activeCell="C28" sqref="C28"/>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2001</v>
      </c>
      <c r="B2" s="1">
        <v>45658</v>
      </c>
      <c r="C2" t="s">
        <v>12</v>
      </c>
      <c r="D2" t="s">
        <v>13</v>
      </c>
      <c r="E2" t="s">
        <v>14</v>
      </c>
      <c r="F2" t="s">
        <v>15</v>
      </c>
      <c r="G2" t="s">
        <v>16</v>
      </c>
      <c r="H2" t="s">
        <v>17</v>
      </c>
      <c r="I2" t="s">
        <v>18</v>
      </c>
      <c r="J2">
        <v>2</v>
      </c>
      <c r="K2">
        <v>18500</v>
      </c>
      <c r="L2" s="2">
        <v>0.05</v>
      </c>
    </row>
    <row r="3" spans="1:12" x14ac:dyDescent="0.3">
      <c r="A3">
        <v>2002</v>
      </c>
      <c r="B3" s="1">
        <v>45689</v>
      </c>
      <c r="C3" t="s">
        <v>19</v>
      </c>
      <c r="D3" t="s">
        <v>13</v>
      </c>
      <c r="E3" t="s">
        <v>20</v>
      </c>
      <c r="F3" t="s">
        <v>21</v>
      </c>
      <c r="G3" t="s">
        <v>22</v>
      </c>
      <c r="H3" t="s">
        <v>23</v>
      </c>
      <c r="I3" t="s">
        <v>24</v>
      </c>
      <c r="J3">
        <v>12</v>
      </c>
      <c r="K3">
        <v>260</v>
      </c>
      <c r="L3" s="2">
        <v>0</v>
      </c>
    </row>
    <row r="4" spans="1:12" x14ac:dyDescent="0.3">
      <c r="A4">
        <v>2003</v>
      </c>
      <c r="B4" s="1">
        <v>45717</v>
      </c>
      <c r="C4" t="s">
        <v>12</v>
      </c>
      <c r="D4" t="s">
        <v>13</v>
      </c>
      <c r="E4" t="s">
        <v>14</v>
      </c>
      <c r="F4" t="s">
        <v>25</v>
      </c>
      <c r="G4" t="s">
        <v>16</v>
      </c>
      <c r="H4" t="s">
        <v>26</v>
      </c>
      <c r="I4" t="s">
        <v>24</v>
      </c>
      <c r="J4">
        <v>6</v>
      </c>
      <c r="K4">
        <v>480</v>
      </c>
      <c r="L4" s="2">
        <v>0.1</v>
      </c>
    </row>
    <row r="5" spans="1:12" x14ac:dyDescent="0.3">
      <c r="A5">
        <v>2004</v>
      </c>
      <c r="B5" s="1">
        <v>45748</v>
      </c>
      <c r="C5" t="s">
        <v>27</v>
      </c>
      <c r="D5" t="s">
        <v>28</v>
      </c>
      <c r="E5" t="s">
        <v>29</v>
      </c>
      <c r="F5" t="s">
        <v>30</v>
      </c>
      <c r="G5" t="s">
        <v>31</v>
      </c>
      <c r="H5" t="s">
        <v>17</v>
      </c>
      <c r="I5" t="s">
        <v>18</v>
      </c>
      <c r="J5">
        <v>1</v>
      </c>
      <c r="K5">
        <v>21000</v>
      </c>
      <c r="L5" s="2">
        <v>7.0000000000000007E-2</v>
      </c>
    </row>
    <row r="6" spans="1:12" x14ac:dyDescent="0.3">
      <c r="A6">
        <v>2005</v>
      </c>
      <c r="B6" s="1">
        <v>45778</v>
      </c>
      <c r="C6" t="s">
        <v>32</v>
      </c>
      <c r="D6" t="s">
        <v>33</v>
      </c>
      <c r="E6" t="s">
        <v>34</v>
      </c>
      <c r="F6" t="s">
        <v>35</v>
      </c>
      <c r="G6" t="s">
        <v>22</v>
      </c>
      <c r="H6" t="s">
        <v>36</v>
      </c>
      <c r="I6" t="s">
        <v>18</v>
      </c>
      <c r="J6">
        <v>3</v>
      </c>
      <c r="K6">
        <v>6200</v>
      </c>
      <c r="L6" s="2">
        <v>0.05</v>
      </c>
    </row>
    <row r="7" spans="1:12" x14ac:dyDescent="0.3">
      <c r="A7">
        <v>2006</v>
      </c>
      <c r="B7" s="1">
        <v>45809</v>
      </c>
      <c r="C7" t="s">
        <v>19</v>
      </c>
      <c r="D7" t="s">
        <v>13</v>
      </c>
      <c r="E7" t="s">
        <v>20</v>
      </c>
      <c r="F7" t="s">
        <v>21</v>
      </c>
      <c r="G7" t="s">
        <v>16</v>
      </c>
      <c r="H7" t="s">
        <v>17</v>
      </c>
      <c r="I7" t="s">
        <v>18</v>
      </c>
      <c r="J7">
        <v>2</v>
      </c>
      <c r="K7">
        <v>17800</v>
      </c>
      <c r="L7" s="2">
        <v>0.03</v>
      </c>
    </row>
    <row r="8" spans="1:12" x14ac:dyDescent="0.3">
      <c r="A8">
        <v>2007</v>
      </c>
      <c r="B8" s="1">
        <v>45839</v>
      </c>
      <c r="C8" t="s">
        <v>12</v>
      </c>
      <c r="D8" t="s">
        <v>13</v>
      </c>
      <c r="E8" t="s">
        <v>37</v>
      </c>
      <c r="F8" t="s">
        <v>15</v>
      </c>
      <c r="G8" t="s">
        <v>22</v>
      </c>
      <c r="H8" t="s">
        <v>23</v>
      </c>
      <c r="I8" t="s">
        <v>24</v>
      </c>
      <c r="J8">
        <v>15</v>
      </c>
      <c r="K8">
        <v>240</v>
      </c>
      <c r="L8" s="2">
        <v>0</v>
      </c>
    </row>
    <row r="9" spans="1:12" x14ac:dyDescent="0.3">
      <c r="A9">
        <v>2008</v>
      </c>
      <c r="B9" s="1">
        <v>45870</v>
      </c>
      <c r="C9" t="s">
        <v>27</v>
      </c>
      <c r="D9" t="s">
        <v>28</v>
      </c>
      <c r="E9" t="s">
        <v>38</v>
      </c>
      <c r="F9" t="s">
        <v>30</v>
      </c>
      <c r="G9" t="s">
        <v>31</v>
      </c>
      <c r="H9" t="s">
        <v>36</v>
      </c>
      <c r="I9" t="s">
        <v>18</v>
      </c>
      <c r="J9">
        <v>2</v>
      </c>
      <c r="K9">
        <v>6700</v>
      </c>
      <c r="L9" s="2">
        <v>0.08</v>
      </c>
    </row>
    <row r="10" spans="1:12" x14ac:dyDescent="0.3">
      <c r="A10">
        <v>2009</v>
      </c>
      <c r="B10" s="1">
        <v>45901</v>
      </c>
      <c r="C10" t="s">
        <v>32</v>
      </c>
      <c r="D10" t="s">
        <v>33</v>
      </c>
      <c r="E10" t="s">
        <v>39</v>
      </c>
      <c r="F10" t="s">
        <v>35</v>
      </c>
      <c r="G10" t="s">
        <v>16</v>
      </c>
      <c r="H10" t="s">
        <v>26</v>
      </c>
      <c r="I10" t="s">
        <v>24</v>
      </c>
      <c r="J10">
        <v>7</v>
      </c>
      <c r="K10">
        <v>500</v>
      </c>
      <c r="L10" s="2">
        <v>0.05</v>
      </c>
    </row>
    <row r="11" spans="1:12" x14ac:dyDescent="0.3">
      <c r="A11">
        <v>2010</v>
      </c>
      <c r="B11" s="1">
        <v>45931</v>
      </c>
      <c r="C11" t="s">
        <v>12</v>
      </c>
      <c r="D11" t="s">
        <v>13</v>
      </c>
      <c r="E11" t="s">
        <v>14</v>
      </c>
      <c r="F11" t="s">
        <v>25</v>
      </c>
      <c r="G11" t="s">
        <v>22</v>
      </c>
      <c r="H11" t="s">
        <v>17</v>
      </c>
      <c r="I11" t="s">
        <v>18</v>
      </c>
      <c r="J11">
        <v>1</v>
      </c>
      <c r="K11">
        <v>19000</v>
      </c>
      <c r="L11" s="2">
        <v>0.06</v>
      </c>
    </row>
    <row r="12" spans="1:12" x14ac:dyDescent="0.3">
      <c r="A12">
        <v>2011</v>
      </c>
      <c r="B12" s="1">
        <v>45962</v>
      </c>
      <c r="C12" t="s">
        <v>19</v>
      </c>
      <c r="D12" t="s">
        <v>13</v>
      </c>
      <c r="E12" t="s">
        <v>40</v>
      </c>
      <c r="F12" t="s">
        <v>21</v>
      </c>
      <c r="G12" t="s">
        <v>22</v>
      </c>
      <c r="H12" t="s">
        <v>26</v>
      </c>
      <c r="I12" t="s">
        <v>24</v>
      </c>
      <c r="J12">
        <v>8</v>
      </c>
      <c r="K12">
        <v>470</v>
      </c>
      <c r="L12" s="2">
        <v>0.02</v>
      </c>
    </row>
    <row r="13" spans="1:12" x14ac:dyDescent="0.3">
      <c r="A13">
        <v>2012</v>
      </c>
      <c r="B13" s="1">
        <v>45992</v>
      </c>
      <c r="C13" t="s">
        <v>32</v>
      </c>
      <c r="D13" t="s">
        <v>33</v>
      </c>
      <c r="E13" t="s">
        <v>34</v>
      </c>
      <c r="F13" t="s">
        <v>35</v>
      </c>
      <c r="G13" t="s">
        <v>31</v>
      </c>
      <c r="H13" t="s">
        <v>17</v>
      </c>
      <c r="I13" t="s">
        <v>18</v>
      </c>
      <c r="J13">
        <v>2</v>
      </c>
      <c r="K13">
        <v>19500</v>
      </c>
      <c r="L13" s="2">
        <v>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949E-AC8B-433B-B996-5B75B3F9F741}">
  <dimension ref="A1:S13"/>
  <sheetViews>
    <sheetView zoomScale="70" zoomScaleNormal="70" workbookViewId="0">
      <selection activeCell="N21" sqref="N21"/>
    </sheetView>
  </sheetViews>
  <sheetFormatPr defaultRowHeight="14.4" x14ac:dyDescent="0.3"/>
  <cols>
    <col min="1" max="1" width="12.77734375" customWidth="1"/>
    <col min="2" max="2" width="14.5546875" bestFit="1" customWidth="1"/>
    <col min="3" max="3" width="11.5546875" bestFit="1" customWidth="1"/>
    <col min="4" max="4" width="12.6640625" bestFit="1" customWidth="1"/>
    <col min="5" max="5" width="9.21875" bestFit="1" customWidth="1"/>
    <col min="6" max="6" width="15.5546875" bestFit="1" customWidth="1"/>
    <col min="7" max="7" width="12.6640625" bestFit="1" customWidth="1"/>
    <col min="8" max="8" width="12.33203125" bestFit="1" customWidth="1"/>
    <col min="9" max="9" width="13.33203125" bestFit="1" customWidth="1"/>
    <col min="10" max="10" width="13.88671875" bestFit="1" customWidth="1"/>
    <col min="11" max="11" width="13.5546875" bestFit="1" customWidth="1"/>
    <col min="12" max="12" width="13.109375" bestFit="1" customWidth="1"/>
    <col min="13" max="13" width="15.33203125" bestFit="1" customWidth="1"/>
    <col min="14" max="14" width="20.88671875" bestFit="1" customWidth="1"/>
    <col min="15" max="15" width="13.33203125" bestFit="1" customWidth="1"/>
    <col min="16" max="16" width="17" style="3" bestFit="1" customWidth="1"/>
    <col min="17" max="17" width="18" style="3" bestFit="1" customWidth="1"/>
    <col min="18" max="18" width="14.88671875" bestFit="1" customWidth="1"/>
    <col min="19" max="19" width="30.88671875" style="3" bestFit="1" customWidth="1"/>
  </cols>
  <sheetData>
    <row r="1" spans="1:19" x14ac:dyDescent="0.3">
      <c r="A1" s="4" t="s">
        <v>0</v>
      </c>
      <c r="B1" s="4" t="s">
        <v>1</v>
      </c>
      <c r="C1" s="4" t="s">
        <v>2</v>
      </c>
      <c r="D1" s="4" t="s">
        <v>3</v>
      </c>
      <c r="E1" s="4" t="s">
        <v>4</v>
      </c>
      <c r="F1" s="4" t="s">
        <v>5</v>
      </c>
      <c r="G1" s="4" t="s">
        <v>6</v>
      </c>
      <c r="H1" s="4" t="s">
        <v>7</v>
      </c>
      <c r="I1" s="4" t="s">
        <v>8</v>
      </c>
      <c r="J1" s="4" t="s">
        <v>9</v>
      </c>
      <c r="K1" s="4" t="s">
        <v>10</v>
      </c>
      <c r="L1" s="4" t="s">
        <v>11</v>
      </c>
      <c r="M1" s="4" t="s">
        <v>41</v>
      </c>
      <c r="N1" s="4" t="s">
        <v>42</v>
      </c>
      <c r="O1" s="4" t="s">
        <v>43</v>
      </c>
      <c r="P1" s="5" t="s">
        <v>44</v>
      </c>
      <c r="Q1" s="5" t="s">
        <v>45</v>
      </c>
      <c r="R1" s="5" t="s">
        <v>46</v>
      </c>
      <c r="S1" s="5" t="s">
        <v>47</v>
      </c>
    </row>
    <row r="2" spans="1:19" x14ac:dyDescent="0.3">
      <c r="A2" s="6">
        <v>2001</v>
      </c>
      <c r="B2" s="7">
        <v>45658</v>
      </c>
      <c r="C2" s="6" t="s">
        <v>12</v>
      </c>
      <c r="D2" s="6" t="s">
        <v>13</v>
      </c>
      <c r="E2" s="6" t="s">
        <v>14</v>
      </c>
      <c r="F2" s="6" t="s">
        <v>15</v>
      </c>
      <c r="G2" s="6" t="s">
        <v>16</v>
      </c>
      <c r="H2" s="6" t="s">
        <v>17</v>
      </c>
      <c r="I2" s="6" t="s">
        <v>18</v>
      </c>
      <c r="J2" s="6">
        <v>2</v>
      </c>
      <c r="K2" s="6">
        <v>18500</v>
      </c>
      <c r="L2" s="8">
        <v>0.05</v>
      </c>
      <c r="M2" s="6">
        <f>J2*K2</f>
        <v>37000</v>
      </c>
      <c r="N2" s="6">
        <f>L2*M2</f>
        <v>1850</v>
      </c>
      <c r="O2" s="9">
        <f>M2-N2</f>
        <v>35150</v>
      </c>
      <c r="P2" s="10" t="str">
        <f>TEXT(B2,"mmmm")</f>
        <v>January</v>
      </c>
      <c r="Q2" s="11" t="str">
        <f>"Q"&amp;ROUNDUP(MONTH(B2)/3,0)</f>
        <v>Q1</v>
      </c>
      <c r="R2" s="10" t="str">
        <f>IF(O2&gt;=30000,"High",IF(O2&gt;=10000,"Medium","Low"))</f>
        <v>High</v>
      </c>
      <c r="S2" s="10">
        <f>IF(I2="Electronics",O2*20%,IF(I2="Accessories",O2*35%,0))</f>
        <v>7030</v>
      </c>
    </row>
    <row r="3" spans="1:19" x14ac:dyDescent="0.3">
      <c r="A3" s="6">
        <v>2002</v>
      </c>
      <c r="B3" s="7">
        <v>45689</v>
      </c>
      <c r="C3" s="6" t="s">
        <v>19</v>
      </c>
      <c r="D3" s="6" t="s">
        <v>13</v>
      </c>
      <c r="E3" s="6" t="s">
        <v>20</v>
      </c>
      <c r="F3" s="6" t="s">
        <v>21</v>
      </c>
      <c r="G3" s="6" t="s">
        <v>22</v>
      </c>
      <c r="H3" s="6" t="s">
        <v>23</v>
      </c>
      <c r="I3" s="6" t="s">
        <v>24</v>
      </c>
      <c r="J3" s="6">
        <v>12</v>
      </c>
      <c r="K3" s="6">
        <v>260</v>
      </c>
      <c r="L3" s="8">
        <v>0</v>
      </c>
      <c r="M3" s="6">
        <f t="shared" ref="M3:M13" si="0">J3*K3</f>
        <v>3120</v>
      </c>
      <c r="N3" s="6">
        <f t="shared" ref="N3:N13" si="1">L3*M3</f>
        <v>0</v>
      </c>
      <c r="O3" s="9">
        <f t="shared" ref="O3:O13" si="2">M3-N3</f>
        <v>3120</v>
      </c>
      <c r="P3" s="10" t="str">
        <f t="shared" ref="P3:P13" si="3">TEXT(B3,"mmmm")</f>
        <v>February</v>
      </c>
      <c r="Q3" s="11" t="str">
        <f t="shared" ref="Q3:Q13" si="4">"Q"&amp;ROUNDUP(MONTH(B3)/3,0)</f>
        <v>Q1</v>
      </c>
      <c r="R3" s="10" t="str">
        <f t="shared" ref="R3:R13" si="5">IF(O3&gt;=30000,"High",IF(O3&gt;=10000,"Medium","Low"))</f>
        <v>Low</v>
      </c>
      <c r="S3" s="10">
        <f t="shared" ref="S3:S13" si="6">IF(I3="Electronics",O3*20%,IF(I3="Accessories",O3*35%,0))</f>
        <v>1092</v>
      </c>
    </row>
    <row r="4" spans="1:19" x14ac:dyDescent="0.3">
      <c r="A4" s="6">
        <v>2003</v>
      </c>
      <c r="B4" s="7">
        <v>45717</v>
      </c>
      <c r="C4" s="6" t="s">
        <v>12</v>
      </c>
      <c r="D4" s="6" t="s">
        <v>13</v>
      </c>
      <c r="E4" s="6" t="s">
        <v>14</v>
      </c>
      <c r="F4" s="6" t="s">
        <v>25</v>
      </c>
      <c r="G4" s="6" t="s">
        <v>16</v>
      </c>
      <c r="H4" s="6" t="s">
        <v>26</v>
      </c>
      <c r="I4" s="6" t="s">
        <v>24</v>
      </c>
      <c r="J4" s="6">
        <v>6</v>
      </c>
      <c r="K4" s="6">
        <v>480</v>
      </c>
      <c r="L4" s="8">
        <v>0.1</v>
      </c>
      <c r="M4" s="6">
        <f t="shared" si="0"/>
        <v>2880</v>
      </c>
      <c r="N4" s="6">
        <f t="shared" si="1"/>
        <v>288</v>
      </c>
      <c r="O4" s="9">
        <f t="shared" si="2"/>
        <v>2592</v>
      </c>
      <c r="P4" s="10" t="str">
        <f t="shared" si="3"/>
        <v>March</v>
      </c>
      <c r="Q4" s="11" t="str">
        <f t="shared" si="4"/>
        <v>Q1</v>
      </c>
      <c r="R4" s="10" t="str">
        <f t="shared" si="5"/>
        <v>Low</v>
      </c>
      <c r="S4" s="10">
        <f t="shared" si="6"/>
        <v>907.19999999999993</v>
      </c>
    </row>
    <row r="5" spans="1:19" x14ac:dyDescent="0.3">
      <c r="A5" s="6">
        <v>2004</v>
      </c>
      <c r="B5" s="7">
        <v>45748</v>
      </c>
      <c r="C5" s="6" t="s">
        <v>27</v>
      </c>
      <c r="D5" s="6" t="s">
        <v>28</v>
      </c>
      <c r="E5" s="6" t="s">
        <v>29</v>
      </c>
      <c r="F5" s="6" t="s">
        <v>30</v>
      </c>
      <c r="G5" s="6" t="s">
        <v>31</v>
      </c>
      <c r="H5" s="6" t="s">
        <v>17</v>
      </c>
      <c r="I5" s="6" t="s">
        <v>18</v>
      </c>
      <c r="J5" s="6">
        <v>1</v>
      </c>
      <c r="K5" s="6">
        <v>21000</v>
      </c>
      <c r="L5" s="8">
        <v>7.0000000000000007E-2</v>
      </c>
      <c r="M5" s="6">
        <f t="shared" si="0"/>
        <v>21000</v>
      </c>
      <c r="N5" s="6">
        <f t="shared" si="1"/>
        <v>1470.0000000000002</v>
      </c>
      <c r="O5" s="9">
        <f t="shared" si="2"/>
        <v>19530</v>
      </c>
      <c r="P5" s="10" t="str">
        <f t="shared" si="3"/>
        <v>April</v>
      </c>
      <c r="Q5" s="11" t="str">
        <f t="shared" si="4"/>
        <v>Q2</v>
      </c>
      <c r="R5" s="10" t="str">
        <f t="shared" si="5"/>
        <v>Medium</v>
      </c>
      <c r="S5" s="10">
        <f t="shared" si="6"/>
        <v>3906</v>
      </c>
    </row>
    <row r="6" spans="1:19" x14ac:dyDescent="0.3">
      <c r="A6" s="6">
        <v>2005</v>
      </c>
      <c r="B6" s="7">
        <v>45778</v>
      </c>
      <c r="C6" s="6" t="s">
        <v>32</v>
      </c>
      <c r="D6" s="6" t="s">
        <v>33</v>
      </c>
      <c r="E6" s="6" t="s">
        <v>34</v>
      </c>
      <c r="F6" s="6" t="s">
        <v>35</v>
      </c>
      <c r="G6" s="6" t="s">
        <v>22</v>
      </c>
      <c r="H6" s="6" t="s">
        <v>36</v>
      </c>
      <c r="I6" s="6" t="s">
        <v>18</v>
      </c>
      <c r="J6" s="6">
        <v>3</v>
      </c>
      <c r="K6" s="6">
        <v>6200</v>
      </c>
      <c r="L6" s="8">
        <v>0.05</v>
      </c>
      <c r="M6" s="6">
        <f t="shared" si="0"/>
        <v>18600</v>
      </c>
      <c r="N6" s="6">
        <f t="shared" si="1"/>
        <v>930</v>
      </c>
      <c r="O6" s="9">
        <f t="shared" si="2"/>
        <v>17670</v>
      </c>
      <c r="P6" s="10" t="str">
        <f t="shared" si="3"/>
        <v>May</v>
      </c>
      <c r="Q6" s="11" t="str">
        <f t="shared" si="4"/>
        <v>Q2</v>
      </c>
      <c r="R6" s="10" t="str">
        <f t="shared" si="5"/>
        <v>Medium</v>
      </c>
      <c r="S6" s="10">
        <f t="shared" si="6"/>
        <v>3534</v>
      </c>
    </row>
    <row r="7" spans="1:19" x14ac:dyDescent="0.3">
      <c r="A7" s="6">
        <v>2006</v>
      </c>
      <c r="B7" s="7">
        <v>45809</v>
      </c>
      <c r="C7" s="6" t="s">
        <v>19</v>
      </c>
      <c r="D7" s="6" t="s">
        <v>13</v>
      </c>
      <c r="E7" s="6" t="s">
        <v>20</v>
      </c>
      <c r="F7" s="6" t="s">
        <v>21</v>
      </c>
      <c r="G7" s="6" t="s">
        <v>16</v>
      </c>
      <c r="H7" s="6" t="s">
        <v>17</v>
      </c>
      <c r="I7" s="6" t="s">
        <v>18</v>
      </c>
      <c r="J7" s="6">
        <v>2</v>
      </c>
      <c r="K7" s="6">
        <v>17800</v>
      </c>
      <c r="L7" s="8">
        <v>0.03</v>
      </c>
      <c r="M7" s="6">
        <f t="shared" si="0"/>
        <v>35600</v>
      </c>
      <c r="N7" s="6">
        <f t="shared" si="1"/>
        <v>1068</v>
      </c>
      <c r="O7" s="9">
        <f t="shared" si="2"/>
        <v>34532</v>
      </c>
      <c r="P7" s="10" t="str">
        <f t="shared" si="3"/>
        <v>June</v>
      </c>
      <c r="Q7" s="11" t="str">
        <f t="shared" si="4"/>
        <v>Q2</v>
      </c>
      <c r="R7" s="10" t="str">
        <f t="shared" si="5"/>
        <v>High</v>
      </c>
      <c r="S7" s="10">
        <f t="shared" si="6"/>
        <v>6906.4000000000005</v>
      </c>
    </row>
    <row r="8" spans="1:19" x14ac:dyDescent="0.3">
      <c r="A8" s="6">
        <v>2007</v>
      </c>
      <c r="B8" s="7">
        <v>45839</v>
      </c>
      <c r="C8" s="6" t="s">
        <v>12</v>
      </c>
      <c r="D8" s="6" t="s">
        <v>13</v>
      </c>
      <c r="E8" s="6" t="s">
        <v>37</v>
      </c>
      <c r="F8" s="6" t="s">
        <v>15</v>
      </c>
      <c r="G8" s="6" t="s">
        <v>22</v>
      </c>
      <c r="H8" s="6" t="s">
        <v>23</v>
      </c>
      <c r="I8" s="6" t="s">
        <v>24</v>
      </c>
      <c r="J8" s="6">
        <v>15</v>
      </c>
      <c r="K8" s="6">
        <v>240</v>
      </c>
      <c r="L8" s="8">
        <v>0</v>
      </c>
      <c r="M8" s="6">
        <f t="shared" si="0"/>
        <v>3600</v>
      </c>
      <c r="N8" s="6">
        <f t="shared" si="1"/>
        <v>0</v>
      </c>
      <c r="O8" s="9">
        <f t="shared" si="2"/>
        <v>3600</v>
      </c>
      <c r="P8" s="10" t="str">
        <f t="shared" si="3"/>
        <v>July</v>
      </c>
      <c r="Q8" s="11" t="str">
        <f t="shared" si="4"/>
        <v>Q3</v>
      </c>
      <c r="R8" s="10" t="str">
        <f t="shared" si="5"/>
        <v>Low</v>
      </c>
      <c r="S8" s="10">
        <f t="shared" si="6"/>
        <v>1260</v>
      </c>
    </row>
    <row r="9" spans="1:19" x14ac:dyDescent="0.3">
      <c r="A9" s="6">
        <v>2008</v>
      </c>
      <c r="B9" s="7">
        <v>45870</v>
      </c>
      <c r="C9" s="6" t="s">
        <v>27</v>
      </c>
      <c r="D9" s="6" t="s">
        <v>28</v>
      </c>
      <c r="E9" s="6" t="s">
        <v>38</v>
      </c>
      <c r="F9" s="6" t="s">
        <v>30</v>
      </c>
      <c r="G9" s="6" t="s">
        <v>31</v>
      </c>
      <c r="H9" s="6" t="s">
        <v>36</v>
      </c>
      <c r="I9" s="6" t="s">
        <v>18</v>
      </c>
      <c r="J9" s="6">
        <v>2</v>
      </c>
      <c r="K9" s="6">
        <v>6700</v>
      </c>
      <c r="L9" s="8">
        <v>0.08</v>
      </c>
      <c r="M9" s="6">
        <f t="shared" si="0"/>
        <v>13400</v>
      </c>
      <c r="N9" s="6">
        <f t="shared" si="1"/>
        <v>1072</v>
      </c>
      <c r="O9" s="9">
        <f t="shared" si="2"/>
        <v>12328</v>
      </c>
      <c r="P9" s="10" t="str">
        <f t="shared" si="3"/>
        <v>August</v>
      </c>
      <c r="Q9" s="11" t="str">
        <f t="shared" si="4"/>
        <v>Q3</v>
      </c>
      <c r="R9" s="10" t="str">
        <f t="shared" si="5"/>
        <v>Medium</v>
      </c>
      <c r="S9" s="10">
        <f t="shared" si="6"/>
        <v>2465.6000000000004</v>
      </c>
    </row>
    <row r="10" spans="1:19" x14ac:dyDescent="0.3">
      <c r="A10" s="6">
        <v>2009</v>
      </c>
      <c r="B10" s="7">
        <v>45901</v>
      </c>
      <c r="C10" s="6" t="s">
        <v>32</v>
      </c>
      <c r="D10" s="6" t="s">
        <v>33</v>
      </c>
      <c r="E10" s="6" t="s">
        <v>39</v>
      </c>
      <c r="F10" s="6" t="s">
        <v>35</v>
      </c>
      <c r="G10" s="6" t="s">
        <v>16</v>
      </c>
      <c r="H10" s="6" t="s">
        <v>26</v>
      </c>
      <c r="I10" s="6" t="s">
        <v>24</v>
      </c>
      <c r="J10" s="6">
        <v>7</v>
      </c>
      <c r="K10" s="6">
        <v>500</v>
      </c>
      <c r="L10" s="8">
        <v>0.05</v>
      </c>
      <c r="M10" s="6">
        <f t="shared" si="0"/>
        <v>3500</v>
      </c>
      <c r="N10" s="6">
        <f t="shared" si="1"/>
        <v>175</v>
      </c>
      <c r="O10" s="9">
        <f t="shared" si="2"/>
        <v>3325</v>
      </c>
      <c r="P10" s="10" t="str">
        <f t="shared" si="3"/>
        <v>September</v>
      </c>
      <c r="Q10" s="11" t="str">
        <f t="shared" si="4"/>
        <v>Q3</v>
      </c>
      <c r="R10" s="10" t="str">
        <f t="shared" si="5"/>
        <v>Low</v>
      </c>
      <c r="S10" s="10">
        <f t="shared" si="6"/>
        <v>1163.75</v>
      </c>
    </row>
    <row r="11" spans="1:19" x14ac:dyDescent="0.3">
      <c r="A11" s="6">
        <v>2010</v>
      </c>
      <c r="B11" s="7">
        <v>45931</v>
      </c>
      <c r="C11" s="6" t="s">
        <v>12</v>
      </c>
      <c r="D11" s="6" t="s">
        <v>13</v>
      </c>
      <c r="E11" s="6" t="s">
        <v>14</v>
      </c>
      <c r="F11" s="6" t="s">
        <v>25</v>
      </c>
      <c r="G11" s="6" t="s">
        <v>22</v>
      </c>
      <c r="H11" s="6" t="s">
        <v>17</v>
      </c>
      <c r="I11" s="6" t="s">
        <v>18</v>
      </c>
      <c r="J11" s="6">
        <v>1</v>
      </c>
      <c r="K11" s="6">
        <v>19000</v>
      </c>
      <c r="L11" s="8">
        <v>0.06</v>
      </c>
      <c r="M11" s="6">
        <f t="shared" si="0"/>
        <v>19000</v>
      </c>
      <c r="N11" s="6">
        <f t="shared" si="1"/>
        <v>1140</v>
      </c>
      <c r="O11" s="9">
        <f t="shared" si="2"/>
        <v>17860</v>
      </c>
      <c r="P11" s="10" t="str">
        <f t="shared" si="3"/>
        <v>October</v>
      </c>
      <c r="Q11" s="11" t="str">
        <f t="shared" si="4"/>
        <v>Q4</v>
      </c>
      <c r="R11" s="10" t="str">
        <f t="shared" si="5"/>
        <v>Medium</v>
      </c>
      <c r="S11" s="10">
        <f t="shared" si="6"/>
        <v>3572</v>
      </c>
    </row>
    <row r="12" spans="1:19" x14ac:dyDescent="0.3">
      <c r="A12" s="6">
        <v>2011</v>
      </c>
      <c r="B12" s="7">
        <v>45962</v>
      </c>
      <c r="C12" s="6" t="s">
        <v>19</v>
      </c>
      <c r="D12" s="6" t="s">
        <v>13</v>
      </c>
      <c r="E12" s="6" t="s">
        <v>40</v>
      </c>
      <c r="F12" s="6" t="s">
        <v>21</v>
      </c>
      <c r="G12" s="6" t="s">
        <v>22</v>
      </c>
      <c r="H12" s="6" t="s">
        <v>26</v>
      </c>
      <c r="I12" s="6" t="s">
        <v>24</v>
      </c>
      <c r="J12" s="6">
        <v>8</v>
      </c>
      <c r="K12" s="6">
        <v>470</v>
      </c>
      <c r="L12" s="8">
        <v>0.02</v>
      </c>
      <c r="M12" s="6">
        <f t="shared" si="0"/>
        <v>3760</v>
      </c>
      <c r="N12" s="6">
        <f t="shared" si="1"/>
        <v>75.2</v>
      </c>
      <c r="O12" s="9">
        <f t="shared" si="2"/>
        <v>3684.8</v>
      </c>
      <c r="P12" s="10" t="str">
        <f t="shared" si="3"/>
        <v>November</v>
      </c>
      <c r="Q12" s="11" t="str">
        <f t="shared" si="4"/>
        <v>Q4</v>
      </c>
      <c r="R12" s="10" t="str">
        <f t="shared" si="5"/>
        <v>Low</v>
      </c>
      <c r="S12" s="10">
        <f t="shared" si="6"/>
        <v>1289.68</v>
      </c>
    </row>
    <row r="13" spans="1:19" x14ac:dyDescent="0.3">
      <c r="A13" s="6">
        <v>2012</v>
      </c>
      <c r="B13" s="7">
        <v>45992</v>
      </c>
      <c r="C13" s="6" t="s">
        <v>32</v>
      </c>
      <c r="D13" s="6" t="s">
        <v>33</v>
      </c>
      <c r="E13" s="6" t="s">
        <v>34</v>
      </c>
      <c r="F13" s="6" t="s">
        <v>35</v>
      </c>
      <c r="G13" s="6" t="s">
        <v>31</v>
      </c>
      <c r="H13" s="6" t="s">
        <v>17</v>
      </c>
      <c r="I13" s="6" t="s">
        <v>18</v>
      </c>
      <c r="J13" s="6">
        <v>2</v>
      </c>
      <c r="K13" s="6">
        <v>19500</v>
      </c>
      <c r="L13" s="8">
        <v>0.1</v>
      </c>
      <c r="M13" s="6">
        <f t="shared" si="0"/>
        <v>39000</v>
      </c>
      <c r="N13" s="6">
        <f t="shared" si="1"/>
        <v>3900</v>
      </c>
      <c r="O13" s="9">
        <f t="shared" si="2"/>
        <v>35100</v>
      </c>
      <c r="P13" s="10" t="str">
        <f t="shared" si="3"/>
        <v>December</v>
      </c>
      <c r="Q13" s="11" t="str">
        <f t="shared" si="4"/>
        <v>Q4</v>
      </c>
      <c r="R13" s="10" t="str">
        <f t="shared" si="5"/>
        <v>High</v>
      </c>
      <c r="S13" s="10">
        <f t="shared" si="6"/>
        <v>7020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77BA-0796-4EBE-8FC3-962D91206721}">
  <dimension ref="A3:E9"/>
  <sheetViews>
    <sheetView workbookViewId="0">
      <selection activeCell="N18" sqref="N18"/>
    </sheetView>
  </sheetViews>
  <sheetFormatPr defaultRowHeight="14.4" x14ac:dyDescent="0.3"/>
  <cols>
    <col min="1" max="1" width="15.21875" bestFit="1" customWidth="1"/>
    <col min="2" max="2" width="15.5546875" bestFit="1" customWidth="1"/>
    <col min="3" max="3" width="6.44140625" bestFit="1" customWidth="1"/>
    <col min="4" max="4" width="8" bestFit="1" customWidth="1"/>
    <col min="5" max="5" width="10.77734375" bestFit="1" customWidth="1"/>
  </cols>
  <sheetData>
    <row r="3" spans="1:5" x14ac:dyDescent="0.3">
      <c r="A3" s="12" t="s">
        <v>50</v>
      </c>
      <c r="B3" s="12" t="s">
        <v>51</v>
      </c>
    </row>
    <row r="4" spans="1:5" x14ac:dyDescent="0.3">
      <c r="A4" s="12" t="s">
        <v>48</v>
      </c>
      <c r="B4" t="s">
        <v>31</v>
      </c>
      <c r="C4" t="s">
        <v>16</v>
      </c>
      <c r="D4" t="s">
        <v>22</v>
      </c>
      <c r="E4" t="s">
        <v>49</v>
      </c>
    </row>
    <row r="5" spans="1:5" x14ac:dyDescent="0.3">
      <c r="A5" s="13" t="s">
        <v>12</v>
      </c>
      <c r="B5" s="14"/>
      <c r="C5" s="14">
        <v>37742</v>
      </c>
      <c r="D5" s="14">
        <v>21460</v>
      </c>
      <c r="E5" s="14">
        <v>59202</v>
      </c>
    </row>
    <row r="6" spans="1:5" x14ac:dyDescent="0.3">
      <c r="A6" s="13" t="s">
        <v>27</v>
      </c>
      <c r="B6" s="14">
        <v>31858</v>
      </c>
      <c r="C6" s="14"/>
      <c r="D6" s="14"/>
      <c r="E6" s="14">
        <v>31858</v>
      </c>
    </row>
    <row r="7" spans="1:5" x14ac:dyDescent="0.3">
      <c r="A7" s="13" t="s">
        <v>32</v>
      </c>
      <c r="B7" s="14">
        <v>35100</v>
      </c>
      <c r="C7" s="14">
        <v>3325</v>
      </c>
      <c r="D7" s="14">
        <v>17670</v>
      </c>
      <c r="E7" s="14">
        <v>56095</v>
      </c>
    </row>
    <row r="8" spans="1:5" x14ac:dyDescent="0.3">
      <c r="A8" s="13" t="s">
        <v>19</v>
      </c>
      <c r="B8" s="14"/>
      <c r="C8" s="14">
        <v>34532</v>
      </c>
      <c r="D8" s="14">
        <v>6804.8</v>
      </c>
      <c r="E8" s="14">
        <v>41336.800000000003</v>
      </c>
    </row>
    <row r="9" spans="1:5" x14ac:dyDescent="0.3">
      <c r="A9" s="13" t="s">
        <v>49</v>
      </c>
      <c r="B9" s="14">
        <v>66958</v>
      </c>
      <c r="C9" s="14">
        <v>75599</v>
      </c>
      <c r="D9" s="14">
        <v>45934.8</v>
      </c>
      <c r="E9" s="14">
        <v>188491.8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B1A5C-30EE-4AF5-A0D8-8F7626737B37}">
  <dimension ref="A3:B6"/>
  <sheetViews>
    <sheetView workbookViewId="0">
      <selection activeCell="G27" sqref="G27"/>
    </sheetView>
  </sheetViews>
  <sheetFormatPr defaultRowHeight="14.4" x14ac:dyDescent="0.3"/>
  <cols>
    <col min="1" max="1" width="12.5546875" bestFit="1" customWidth="1"/>
    <col min="2" max="2" width="31.88671875" bestFit="1" customWidth="1"/>
    <col min="3" max="3" width="15.21875" bestFit="1" customWidth="1"/>
  </cols>
  <sheetData>
    <row r="3" spans="1:2" x14ac:dyDescent="0.3">
      <c r="A3" s="12" t="s">
        <v>48</v>
      </c>
      <c r="B3" t="s">
        <v>52</v>
      </c>
    </row>
    <row r="4" spans="1:2" x14ac:dyDescent="0.3">
      <c r="A4" s="13" t="s">
        <v>24</v>
      </c>
      <c r="B4" s="14">
        <v>5712.63</v>
      </c>
    </row>
    <row r="5" spans="1:2" x14ac:dyDescent="0.3">
      <c r="A5" s="13" t="s">
        <v>18</v>
      </c>
      <c r="B5" s="14">
        <v>34434</v>
      </c>
    </row>
    <row r="6" spans="1:2" x14ac:dyDescent="0.3">
      <c r="A6" s="13" t="s">
        <v>49</v>
      </c>
      <c r="B6" s="14">
        <v>40146.629999999997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AF014-EDD7-4D86-AF79-D79C96411B25}">
  <dimension ref="A1:C10"/>
  <sheetViews>
    <sheetView workbookViewId="0">
      <selection activeCell="O14" sqref="O14"/>
    </sheetView>
  </sheetViews>
  <sheetFormatPr defaultRowHeight="14.4" x14ac:dyDescent="0.3"/>
  <cols>
    <col min="1" max="1" width="12.5546875" bestFit="1" customWidth="1"/>
    <col min="2" max="2" width="15.21875" bestFit="1" customWidth="1"/>
    <col min="3" max="3" width="31.88671875" bestFit="1" customWidth="1"/>
  </cols>
  <sheetData>
    <row r="1" spans="1:3" x14ac:dyDescent="0.3">
      <c r="A1" s="12" t="s">
        <v>6</v>
      </c>
      <c r="B1" t="s">
        <v>53</v>
      </c>
    </row>
    <row r="2" spans="1:3" x14ac:dyDescent="0.3">
      <c r="A2" s="12" t="s">
        <v>3</v>
      </c>
      <c r="B2" t="s">
        <v>53</v>
      </c>
    </row>
    <row r="4" spans="1:3" x14ac:dyDescent="0.3">
      <c r="A4" s="12" t="s">
        <v>48</v>
      </c>
      <c r="B4" t="s">
        <v>50</v>
      </c>
      <c r="C4" t="s">
        <v>52</v>
      </c>
    </row>
    <row r="5" spans="1:3" x14ac:dyDescent="0.3">
      <c r="A5" s="13" t="s">
        <v>15</v>
      </c>
      <c r="B5" s="14">
        <v>38750</v>
      </c>
      <c r="C5" s="14">
        <v>8290</v>
      </c>
    </row>
    <row r="6" spans="1:3" x14ac:dyDescent="0.3">
      <c r="A6" s="13" t="s">
        <v>35</v>
      </c>
      <c r="B6" s="14">
        <v>56095</v>
      </c>
      <c r="C6" s="14">
        <v>11717.75</v>
      </c>
    </row>
    <row r="7" spans="1:3" x14ac:dyDescent="0.3">
      <c r="A7" s="13" t="s">
        <v>25</v>
      </c>
      <c r="B7" s="14">
        <v>20452</v>
      </c>
      <c r="C7" s="14">
        <v>4479.2</v>
      </c>
    </row>
    <row r="8" spans="1:3" x14ac:dyDescent="0.3">
      <c r="A8" s="13" t="s">
        <v>30</v>
      </c>
      <c r="B8" s="14">
        <v>31858</v>
      </c>
      <c r="C8" s="14">
        <v>6371.6</v>
      </c>
    </row>
    <row r="9" spans="1:3" x14ac:dyDescent="0.3">
      <c r="A9" s="13" t="s">
        <v>21</v>
      </c>
      <c r="B9" s="14">
        <v>41336.800000000003</v>
      </c>
      <c r="C9" s="14">
        <v>9288.08</v>
      </c>
    </row>
    <row r="10" spans="1:3" x14ac:dyDescent="0.3">
      <c r="A10" s="13" t="s">
        <v>49</v>
      </c>
      <c r="B10" s="14">
        <v>188491.8</v>
      </c>
      <c r="C10" s="14">
        <v>40146.630000000005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AC26-01F5-43F5-8D01-0A76FF09D5DD}">
  <dimension ref="A1:B16"/>
  <sheetViews>
    <sheetView workbookViewId="0">
      <selection activeCell="L25" sqref="L25"/>
    </sheetView>
  </sheetViews>
  <sheetFormatPr defaultRowHeight="14.4" x14ac:dyDescent="0.3"/>
  <cols>
    <col min="1" max="1" width="12.5546875" bestFit="1" customWidth="1"/>
    <col min="2" max="2" width="15.21875" bestFit="1" customWidth="1"/>
  </cols>
  <sheetData>
    <row r="1" spans="1:2" x14ac:dyDescent="0.3">
      <c r="A1" s="12" t="s">
        <v>45</v>
      </c>
      <c r="B1" t="s">
        <v>53</v>
      </c>
    </row>
    <row r="3" spans="1:2" x14ac:dyDescent="0.3">
      <c r="A3" s="12" t="s">
        <v>48</v>
      </c>
      <c r="B3" t="s">
        <v>50</v>
      </c>
    </row>
    <row r="4" spans="1:2" x14ac:dyDescent="0.3">
      <c r="A4" s="13" t="s">
        <v>54</v>
      </c>
      <c r="B4" s="14">
        <v>35150</v>
      </c>
    </row>
    <row r="5" spans="1:2" x14ac:dyDescent="0.3">
      <c r="A5" s="13" t="s">
        <v>55</v>
      </c>
      <c r="B5" s="14">
        <v>3120</v>
      </c>
    </row>
    <row r="6" spans="1:2" x14ac:dyDescent="0.3">
      <c r="A6" s="13" t="s">
        <v>56</v>
      </c>
      <c r="B6" s="14">
        <v>2592</v>
      </c>
    </row>
    <row r="7" spans="1:2" x14ac:dyDescent="0.3">
      <c r="A7" s="13" t="s">
        <v>57</v>
      </c>
      <c r="B7" s="14">
        <v>19530</v>
      </c>
    </row>
    <row r="8" spans="1:2" x14ac:dyDescent="0.3">
      <c r="A8" s="13" t="s">
        <v>58</v>
      </c>
      <c r="B8" s="14">
        <v>17670</v>
      </c>
    </row>
    <row r="9" spans="1:2" x14ac:dyDescent="0.3">
      <c r="A9" s="13" t="s">
        <v>59</v>
      </c>
      <c r="B9" s="14">
        <v>34532</v>
      </c>
    </row>
    <row r="10" spans="1:2" x14ac:dyDescent="0.3">
      <c r="A10" s="13" t="s">
        <v>60</v>
      </c>
      <c r="B10" s="14">
        <v>3600</v>
      </c>
    </row>
    <row r="11" spans="1:2" x14ac:dyDescent="0.3">
      <c r="A11" s="13" t="s">
        <v>61</v>
      </c>
      <c r="B11" s="14">
        <v>12328</v>
      </c>
    </row>
    <row r="12" spans="1:2" x14ac:dyDescent="0.3">
      <c r="A12" s="13" t="s">
        <v>62</v>
      </c>
      <c r="B12" s="14">
        <v>3325</v>
      </c>
    </row>
    <row r="13" spans="1:2" x14ac:dyDescent="0.3">
      <c r="A13" s="13" t="s">
        <v>63</v>
      </c>
      <c r="B13" s="14">
        <v>17860</v>
      </c>
    </row>
    <row r="14" spans="1:2" x14ac:dyDescent="0.3">
      <c r="A14" s="13" t="s">
        <v>64</v>
      </c>
      <c r="B14" s="14">
        <v>3684.8</v>
      </c>
    </row>
    <row r="15" spans="1:2" x14ac:dyDescent="0.3">
      <c r="A15" s="13" t="s">
        <v>65</v>
      </c>
      <c r="B15" s="14">
        <v>35100</v>
      </c>
    </row>
    <row r="16" spans="1:2" x14ac:dyDescent="0.3">
      <c r="A16" s="13" t="s">
        <v>49</v>
      </c>
      <c r="B16" s="14">
        <v>188491.8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38CF-CC27-487E-B1BE-9E2FEC28543A}">
  <dimension ref="A3:C7"/>
  <sheetViews>
    <sheetView workbookViewId="0">
      <selection activeCell="N19" sqref="N19"/>
    </sheetView>
  </sheetViews>
  <sheetFormatPr defaultRowHeight="14.4" x14ac:dyDescent="0.3"/>
  <cols>
    <col min="1" max="1" width="12.5546875" bestFit="1" customWidth="1"/>
    <col min="2" max="2" width="15.44140625" bestFit="1" customWidth="1"/>
    <col min="3" max="3" width="15.21875" bestFit="1" customWidth="1"/>
  </cols>
  <sheetData>
    <row r="3" spans="1:3" x14ac:dyDescent="0.3">
      <c r="A3" s="12" t="s">
        <v>48</v>
      </c>
      <c r="B3" t="s">
        <v>69</v>
      </c>
      <c r="C3" t="s">
        <v>50</v>
      </c>
    </row>
    <row r="4" spans="1:3" x14ac:dyDescent="0.3">
      <c r="A4" s="13" t="s">
        <v>66</v>
      </c>
      <c r="B4" s="14">
        <v>3</v>
      </c>
      <c r="C4" s="14">
        <v>104782</v>
      </c>
    </row>
    <row r="5" spans="1:3" x14ac:dyDescent="0.3">
      <c r="A5" s="13" t="s">
        <v>67</v>
      </c>
      <c r="B5" s="14">
        <v>5</v>
      </c>
      <c r="C5" s="14">
        <v>16321.8</v>
      </c>
    </row>
    <row r="6" spans="1:3" x14ac:dyDescent="0.3">
      <c r="A6" s="13" t="s">
        <v>68</v>
      </c>
      <c r="B6" s="14">
        <v>4</v>
      </c>
      <c r="C6" s="14">
        <v>67388</v>
      </c>
    </row>
    <row r="7" spans="1:3" x14ac:dyDescent="0.3">
      <c r="A7" s="13" t="s">
        <v>49</v>
      </c>
      <c r="B7" s="14">
        <v>12</v>
      </c>
      <c r="C7" s="14">
        <v>188491.8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070D9-556B-43D5-91F1-768504A3CC8A}">
  <dimension ref="A3:G7"/>
  <sheetViews>
    <sheetView workbookViewId="0">
      <selection activeCell="F7" sqref="F7"/>
    </sheetView>
  </sheetViews>
  <sheetFormatPr defaultRowHeight="14.4" x14ac:dyDescent="0.3"/>
  <cols>
    <col min="1" max="1" width="15.21875" bestFit="1" customWidth="1"/>
    <col min="2" max="2" width="31.88671875" bestFit="1" customWidth="1"/>
    <col min="3" max="3" width="15.44140625" bestFit="1" customWidth="1"/>
    <col min="6" max="6" width="13.33203125" bestFit="1" customWidth="1"/>
    <col min="7" max="7" width="11" bestFit="1" customWidth="1"/>
  </cols>
  <sheetData>
    <row r="3" spans="1:7" x14ac:dyDescent="0.3">
      <c r="A3" t="s">
        <v>50</v>
      </c>
      <c r="B3" t="s">
        <v>52</v>
      </c>
      <c r="C3" t="s">
        <v>69</v>
      </c>
    </row>
    <row r="4" spans="1:7" x14ac:dyDescent="0.3">
      <c r="A4" s="14">
        <v>188491.8</v>
      </c>
      <c r="B4" s="14">
        <v>40146.630000000005</v>
      </c>
      <c r="C4" s="14">
        <v>12</v>
      </c>
    </row>
    <row r="5" spans="1:7" x14ac:dyDescent="0.3">
      <c r="F5" t="s">
        <v>70</v>
      </c>
      <c r="G5" s="16">
        <f>GETPIVOTDATA("Sum of Net Sales",$A$3)</f>
        <v>188491.8</v>
      </c>
    </row>
    <row r="6" spans="1:7" x14ac:dyDescent="0.3">
      <c r="F6" t="s">
        <v>71</v>
      </c>
      <c r="G6" s="16">
        <f>GETPIVOTDATA("Sum of Profit (Assume fixed margin)",$A$3)</f>
        <v>40146.630000000005</v>
      </c>
    </row>
    <row r="7" spans="1:7" x14ac:dyDescent="0.3">
      <c r="F7" t="s">
        <v>72</v>
      </c>
      <c r="G7">
        <f>GETPIVOTDATA("Count of OrderID",$A$3)</f>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5E1E-77CD-467C-807B-5F42D559AACB}">
  <dimension ref="A1"/>
  <sheetViews>
    <sheetView showGridLines="0" tabSelected="1" topLeftCell="A12" zoomScale="40" zoomScaleNormal="40" workbookViewId="0">
      <selection activeCell="Y22" sqref="Y22"/>
    </sheetView>
  </sheetViews>
  <sheetFormatPr defaultRowHeight="14.4" x14ac:dyDescent="0.3"/>
  <cols>
    <col min="1" max="17" width="8.88671875" style="15"/>
    <col min="18" max="18" width="8.88671875" style="15" customWidth="1"/>
    <col min="19" max="16384" width="8.88671875" style="15"/>
  </cols>
  <sheetData/>
  <pageMargins left="0.7" right="0.7" top="0.75" bottom="0.75" header="0.3" footer="0.3"/>
  <pageSetup scale="56"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Data1</vt:lpstr>
      <vt:lpstr>Data2</vt:lpstr>
      <vt:lpstr>Net Sales by Region &amp; Channel</vt:lpstr>
      <vt:lpstr>Profit by Category</vt:lpstr>
      <vt:lpstr>Salesperson Net Sales</vt:lpstr>
      <vt:lpstr>Monthly Net Sales</vt:lpstr>
      <vt:lpstr>Sales Band Distribution</vt:lpstr>
      <vt:lpstr>KPI</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Eslam gamal</dc:creator>
  <cp:lastModifiedBy>Eslam gamal</cp:lastModifiedBy>
  <dcterms:created xsi:type="dcterms:W3CDTF">2026-01-21T11:57:06Z</dcterms:created>
  <dcterms:modified xsi:type="dcterms:W3CDTF">2026-01-22T22:15:13Z</dcterms:modified>
</cp:coreProperties>
</file>